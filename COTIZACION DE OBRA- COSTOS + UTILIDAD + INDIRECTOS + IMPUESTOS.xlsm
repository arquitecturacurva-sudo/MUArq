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MUArq\"/>
    </mc:Choice>
  </mc:AlternateContent>
  <xr:revisionPtr revIDLastSave="0" documentId="13_ncr:1_{3784BC82-9924-406B-96FE-FBD62AAB4F63}" xr6:coauthVersionLast="47" xr6:coauthVersionMax="47" xr10:uidLastSave="{00000000-0000-0000-0000-000000000000}"/>
  <bookViews>
    <workbookView xWindow="14295" yWindow="0" windowWidth="14610" windowHeight="15585" xr2:uid="{EFEF56C3-F31A-46E1-AA4F-FEBA03E90EAC}"/>
  </bookViews>
  <sheets>
    <sheet name="Plantilla de cotización" sheetId="1" r:id="rId1"/>
    <sheet name="MATRIZ DE RIESGO" sheetId="2" r:id="rId2"/>
  </sheets>
  <functionGroups builtInGroupCount="19"/>
  <externalReferences>
    <externalReference r:id="rId3"/>
    <externalReference r:id="rId4"/>
  </externalReferences>
  <definedNames>
    <definedName name="TIPO_CAMBIO">'[1]FLUJO DE CAJA'!$AE$4</definedName>
    <definedName name="Tipo_de_Cambio">'[2]Lista de precios'!$X$1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1" i="1" l="1"/>
  <c r="Q25" i="1"/>
  <c r="Q26" i="1"/>
  <c r="Q36" i="1"/>
  <c r="Q37" i="1"/>
  <c r="Q38" i="1"/>
  <c r="Q39" i="1"/>
  <c r="Q50" i="1"/>
  <c r="Q52" i="1"/>
  <c r="Q53" i="1"/>
  <c r="Q18" i="1"/>
  <c r="P54" i="1"/>
  <c r="L36" i="1"/>
  <c r="M20" i="1"/>
  <c r="L42" i="1"/>
  <c r="Q42" i="1" s="1"/>
  <c r="L47" i="1"/>
  <c r="Q47" i="1" s="1"/>
  <c r="M47" i="1"/>
  <c r="M39" i="1"/>
  <c r="O54" i="1"/>
  <c r="L53" i="1"/>
  <c r="M52" i="1"/>
  <c r="L52" i="1"/>
  <c r="M51" i="1"/>
  <c r="M50" i="1"/>
  <c r="L50" i="1"/>
  <c r="L27" i="1"/>
  <c r="L28" i="1"/>
  <c r="Q28" i="1" s="1"/>
  <c r="L29" i="1"/>
  <c r="L30" i="1"/>
  <c r="L31" i="1"/>
  <c r="L32" i="1"/>
  <c r="Q32" i="1" s="1"/>
  <c r="L33" i="1"/>
  <c r="Q33" i="1" s="1"/>
  <c r="L34" i="1"/>
  <c r="Q34" i="1" s="1"/>
  <c r="L35" i="1"/>
  <c r="Q35" i="1" s="1"/>
  <c r="L37" i="1"/>
  <c r="L38" i="1"/>
  <c r="L39" i="1"/>
  <c r="L40" i="1"/>
  <c r="L41" i="1"/>
  <c r="Q41" i="1" s="1"/>
  <c r="L26" i="1"/>
  <c r="L25" i="1"/>
  <c r="M30" i="1"/>
  <c r="M31" i="1"/>
  <c r="M32" i="1"/>
  <c r="M35" i="1"/>
  <c r="M36" i="1"/>
  <c r="M37" i="1"/>
  <c r="M38" i="1"/>
  <c r="M40" i="1"/>
  <c r="M41" i="1"/>
  <c r="M42" i="1"/>
  <c r="L48" i="1"/>
  <c r="Q48" i="1" s="1"/>
  <c r="M48" i="1"/>
  <c r="M46" i="1"/>
  <c r="L46" i="1"/>
  <c r="Q46" i="1" s="1"/>
  <c r="M45" i="1"/>
  <c r="M44" i="1"/>
  <c r="L44" i="1"/>
  <c r="Q44" i="1" s="1"/>
  <c r="L18" i="1"/>
  <c r="M18" i="1"/>
  <c r="L20" i="1"/>
  <c r="Q20" i="1" s="1"/>
  <c r="L21" i="1"/>
  <c r="L22" i="1"/>
  <c r="L23" i="1"/>
  <c r="M25" i="1"/>
  <c r="M26" i="1"/>
  <c r="M27" i="1"/>
  <c r="R59" i="1"/>
  <c r="M34" i="1"/>
  <c r="M33" i="1"/>
  <c r="M29" i="1"/>
  <c r="M28" i="1"/>
  <c r="M23" i="1"/>
  <c r="M22" i="1"/>
  <c r="M21" i="1"/>
  <c r="Q27" i="1" l="1"/>
  <c r="F27" i="1" s="1"/>
  <c r="Q23" i="1"/>
  <c r="F23" i="1" s="1"/>
  <c r="G23" i="1" s="1"/>
  <c r="F21" i="1"/>
  <c r="Q22" i="1"/>
  <c r="F22" i="1" s="1"/>
  <c r="G22" i="1" s="1"/>
  <c r="Q29" i="1"/>
  <c r="F29" i="1" s="1"/>
  <c r="G29" i="1" s="1"/>
  <c r="F32" i="1"/>
  <c r="G32" i="1" s="1"/>
  <c r="Q31" i="1"/>
  <c r="F31" i="1" s="1"/>
  <c r="G31" i="1" s="1"/>
  <c r="Q30" i="1"/>
  <c r="F30" i="1" s="1"/>
  <c r="G30" i="1" s="1"/>
  <c r="Q40" i="1"/>
  <c r="F40" i="1" s="1"/>
  <c r="G40" i="1" s="1"/>
  <c r="F46" i="1"/>
  <c r="G46" i="1" s="1"/>
  <c r="F48" i="1"/>
  <c r="G48" i="1" s="1"/>
  <c r="F52" i="1"/>
  <c r="G52" i="1" s="1"/>
  <c r="F25" i="1"/>
  <c r="G25" i="1" s="1"/>
  <c r="F53" i="1"/>
  <c r="G53" i="1" s="1"/>
  <c r="N18" i="1"/>
  <c r="R41" i="1"/>
  <c r="R47" i="1"/>
  <c r="F47" i="1"/>
  <c r="G47" i="1" s="1"/>
  <c r="N20" i="1"/>
  <c r="N47" i="1"/>
  <c r="N28" i="1"/>
  <c r="F42" i="1"/>
  <c r="G42" i="1" s="1"/>
  <c r="R42" i="1"/>
  <c r="N42" i="1"/>
  <c r="N40" i="1"/>
  <c r="R32" i="1"/>
  <c r="N48" i="1"/>
  <c r="N41" i="1"/>
  <c r="R29" i="1"/>
  <c r="R30" i="1"/>
  <c r="M53" i="1"/>
  <c r="R53" i="1" s="1"/>
  <c r="R37" i="1"/>
  <c r="N50" i="1"/>
  <c r="R36" i="1"/>
  <c r="N52" i="1"/>
  <c r="N39" i="1"/>
  <c r="R50" i="1"/>
  <c r="F50" i="1"/>
  <c r="G50" i="1" s="1"/>
  <c r="R34" i="1"/>
  <c r="N31" i="1"/>
  <c r="N30" i="1"/>
  <c r="L51" i="1"/>
  <c r="N33" i="1"/>
  <c r="R39" i="1"/>
  <c r="R38" i="1"/>
  <c r="N38" i="1"/>
  <c r="R33" i="1"/>
  <c r="R31" i="1"/>
  <c r="R52" i="1"/>
  <c r="S52" i="1" s="1"/>
  <c r="N34" i="1"/>
  <c r="N27" i="1"/>
  <c r="R44" i="1"/>
  <c r="N32" i="1"/>
  <c r="F34" i="1"/>
  <c r="G34" i="1" s="1"/>
  <c r="F33" i="1"/>
  <c r="G33" i="1" s="1"/>
  <c r="N25" i="1"/>
  <c r="R35" i="1"/>
  <c r="F35" i="1"/>
  <c r="G35" i="1" s="1"/>
  <c r="N37" i="1"/>
  <c r="F38" i="1"/>
  <c r="G38" i="1" s="1"/>
  <c r="N35" i="1"/>
  <c r="N36" i="1"/>
  <c r="N29" i="1"/>
  <c r="N44" i="1"/>
  <c r="L45" i="1"/>
  <c r="N46" i="1"/>
  <c r="R48" i="1"/>
  <c r="R20" i="1"/>
  <c r="F44" i="1"/>
  <c r="G44" i="1" s="1"/>
  <c r="R46" i="1"/>
  <c r="R27" i="1"/>
  <c r="R28" i="1"/>
  <c r="N21" i="1"/>
  <c r="R21" i="1"/>
  <c r="N22" i="1"/>
  <c r="N23" i="1"/>
  <c r="R25" i="1"/>
  <c r="N26" i="1"/>
  <c r="L19" i="1"/>
  <c r="Q19" i="1" s="1"/>
  <c r="R18" i="1"/>
  <c r="F18" i="1"/>
  <c r="R23" i="1"/>
  <c r="R22" i="1"/>
  <c r="M19" i="1"/>
  <c r="R26" i="1"/>
  <c r="F36" i="1"/>
  <c r="G36" i="1" s="1"/>
  <c r="F20" i="1"/>
  <c r="G20" i="1" s="1"/>
  <c r="G21" i="1"/>
  <c r="Q45" i="1" l="1"/>
  <c r="F45" i="1" s="1"/>
  <c r="G45" i="1" s="1"/>
  <c r="S47" i="1"/>
  <c r="Q51" i="1"/>
  <c r="R51" i="1" s="1"/>
  <c r="R40" i="1"/>
  <c r="S28" i="1"/>
  <c r="S41" i="1"/>
  <c r="S20" i="1"/>
  <c r="S42" i="1"/>
  <c r="S40" i="1"/>
  <c r="S29" i="1"/>
  <c r="S37" i="1"/>
  <c r="S30" i="1"/>
  <c r="S48" i="1"/>
  <c r="S34" i="1"/>
  <c r="S32" i="1"/>
  <c r="S36" i="1"/>
  <c r="N53" i="1"/>
  <c r="S31" i="1"/>
  <c r="S50" i="1"/>
  <c r="S35" i="1"/>
  <c r="S39" i="1"/>
  <c r="S27" i="1"/>
  <c r="S33" i="1"/>
  <c r="S38" i="1"/>
  <c r="S44" i="1"/>
  <c r="N51" i="1"/>
  <c r="S46" i="1"/>
  <c r="S18" i="1"/>
  <c r="R45" i="1"/>
  <c r="N45" i="1"/>
  <c r="S25" i="1"/>
  <c r="R19" i="1"/>
  <c r="S23" i="1"/>
  <c r="S26" i="1"/>
  <c r="S22" i="1"/>
  <c r="S21" i="1"/>
  <c r="N19" i="1"/>
  <c r="F19" i="1"/>
  <c r="G19" i="1" s="1"/>
  <c r="S61" i="1"/>
  <c r="F26" i="1"/>
  <c r="G26" i="1" s="1"/>
  <c r="F41" i="1"/>
  <c r="G41" i="1" s="1"/>
  <c r="F39" i="1"/>
  <c r="G39" i="1" s="1"/>
  <c r="F37" i="1"/>
  <c r="G37" i="1" s="1"/>
  <c r="F28" i="1"/>
  <c r="G28" i="1" s="1"/>
  <c r="G27" i="1"/>
  <c r="F51" i="1" l="1"/>
  <c r="G51" i="1" s="1"/>
  <c r="H49" i="1" s="1"/>
  <c r="S53" i="1"/>
  <c r="S60" i="1"/>
  <c r="N54" i="1"/>
  <c r="R54" i="1"/>
  <c r="M4" i="1" s="1"/>
  <c r="S51" i="1"/>
  <c r="S19" i="1"/>
  <c r="S45" i="1"/>
  <c r="S59" i="1"/>
  <c r="H24" i="1"/>
  <c r="G18" i="1"/>
  <c r="H43" i="1" l="1"/>
  <c r="S62" i="1"/>
  <c r="S54" i="1"/>
  <c r="H56" i="1" s="1"/>
  <c r="R55" i="1"/>
  <c r="R56" i="1" s="1"/>
  <c r="N55" i="1"/>
  <c r="N56" i="1" s="1"/>
  <c r="M5" i="1"/>
  <c r="N5" i="1" s="1"/>
  <c r="H17" i="1"/>
  <c r="H54" i="1" s="1"/>
  <c r="H55" i="1" s="1"/>
  <c r="H57" i="1" l="1"/>
  <c r="M6" i="1"/>
  <c r="N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Rebosy</author>
  </authors>
  <commentList>
    <comment ref="L14" authorId="0" shapeId="0" xr:uid="{8CDA06AC-F96D-41D3-81FA-C5B27D4588A7}">
      <text>
        <r>
          <rPr>
            <b/>
            <sz val="9"/>
            <color indexed="81"/>
            <rFont val="Tahoma"/>
            <family val="2"/>
          </rPr>
          <t>Rebosy:</t>
        </r>
        <r>
          <rPr>
            <sz val="9"/>
            <color indexed="81"/>
            <rFont val="Tahoma"/>
            <family val="2"/>
          </rPr>
          <t xml:space="preserve">
No incluye IGV</t>
        </r>
      </text>
    </comment>
  </commentList>
</comments>
</file>

<file path=xl/sharedStrings.xml><?xml version="1.0" encoding="utf-8"?>
<sst xmlns="http://schemas.openxmlformats.org/spreadsheetml/2006/main" count="116" uniqueCount="68">
  <si>
    <t xml:space="preserve"> </t>
  </si>
  <si>
    <t>COD.</t>
  </si>
  <si>
    <t>DESCRIPCION</t>
  </si>
  <si>
    <t>UND</t>
  </si>
  <si>
    <t>CANT.</t>
  </si>
  <si>
    <t>PRECIO UNITARIO</t>
  </si>
  <si>
    <t>PARCIAL</t>
  </si>
  <si>
    <t>TOTALES</t>
  </si>
  <si>
    <t>Proveedor</t>
  </si>
  <si>
    <t>COSTO UNITARIO</t>
  </si>
  <si>
    <t>CANTIDAD</t>
  </si>
  <si>
    <t>TOTAL</t>
  </si>
  <si>
    <t>% UTIL</t>
  </si>
  <si>
    <t>UTILIDAD UNITARIA</t>
  </si>
  <si>
    <t>PARTIDA</t>
  </si>
  <si>
    <t xml:space="preserve"> Sub Total </t>
  </si>
  <si>
    <t xml:space="preserve"> IGV </t>
  </si>
  <si>
    <t xml:space="preserve"> Total </t>
  </si>
  <si>
    <t>Precio</t>
  </si>
  <si>
    <t>COSTOS</t>
  </si>
  <si>
    <t>Costo</t>
  </si>
  <si>
    <t>Utilidad</t>
  </si>
  <si>
    <t>Total</t>
  </si>
  <si>
    <t>DIA</t>
  </si>
  <si>
    <r>
      <rPr>
        <sz val="24"/>
        <color theme="1"/>
        <rFont val="Calibri"/>
        <family val="2"/>
        <scheme val="minor"/>
      </rPr>
      <t>COTIZACION</t>
    </r>
    <r>
      <rPr>
        <sz val="11"/>
        <color theme="1"/>
        <rFont val="Calibri"/>
        <family val="2"/>
        <scheme val="minor"/>
      </rPr>
      <t xml:space="preserve"> 023-01-1201</t>
    </r>
  </si>
  <si>
    <t>G.Generales</t>
  </si>
  <si>
    <t>SODIMAC</t>
  </si>
  <si>
    <t xml:space="preserve">MATERIALES </t>
  </si>
  <si>
    <t>MANO DE OBRA</t>
  </si>
  <si>
    <t>M2</t>
  </si>
  <si>
    <t>M3</t>
  </si>
  <si>
    <t>ML</t>
  </si>
  <si>
    <t>GLB</t>
  </si>
  <si>
    <t>SUB-TOTAL</t>
  </si>
  <si>
    <t xml:space="preserve">OBSERVACIONES:  </t>
  </si>
  <si>
    <t>%RIESGO</t>
  </si>
  <si>
    <t>X</t>
  </si>
  <si>
    <t>PROBABILIDAD</t>
  </si>
  <si>
    <t>BAJO</t>
  </si>
  <si>
    <t>MEDIO</t>
  </si>
  <si>
    <t>ALTO</t>
  </si>
  <si>
    <t>SEVERIDAD / IMPACTO</t>
  </si>
  <si>
    <t>RIESGOS</t>
  </si>
  <si>
    <t>IMPACTO</t>
  </si>
  <si>
    <t>Chance de que suceda el riesgo</t>
  </si>
  <si>
    <t>Severidad de que suceda el riesgo</t>
  </si>
  <si>
    <t>Descripcion de un riesgo específico</t>
  </si>
  <si>
    <t xml:space="preserve">Solucion a que el riesgo haya sucedido o metodo de prevención </t>
  </si>
  <si>
    <t>trivial</t>
  </si>
  <si>
    <t>Tolerable</t>
  </si>
  <si>
    <t>Moderado</t>
  </si>
  <si>
    <t>Alto</t>
  </si>
  <si>
    <t>Muy Alto</t>
  </si>
  <si>
    <t>MITIGACIÓN</t>
  </si>
  <si>
    <t>Riesgo 1</t>
  </si>
  <si>
    <t>Media</t>
  </si>
  <si>
    <t>Alta</t>
  </si>
  <si>
    <t>Solucion 1</t>
  </si>
  <si>
    <t>Riesgo 2</t>
  </si>
  <si>
    <t>Solucion 2</t>
  </si>
  <si>
    <t>Baja</t>
  </si>
  <si>
    <t>Riesgo 3</t>
  </si>
  <si>
    <t>Solucion 3</t>
  </si>
  <si>
    <t>Riesgo 4</t>
  </si>
  <si>
    <t>Solucion 4</t>
  </si>
  <si>
    <t>Bajo</t>
  </si>
  <si>
    <t>INFORMACION DE PAGO</t>
  </si>
  <si>
    <t>CORREO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</si>
</sst>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-* #,##0.00_-;\-* #,##0.00_-;_-* &quot;-&quot;??_-;_-@_-"/>
    <numFmt numFmtId="165" formatCode="_ * #,##0.00_ ;_ * \-#,##0.00_ ;_ * &quot;-&quot;??_ ;_ @_ "/>
    <numFmt numFmtId="166" formatCode="_ * #,##0_ ;_ * \-#,##0_ ;_ * &quot;-&quot;??_ ;_ @_ "/>
    <numFmt numFmtId="167" formatCode="_-[$S/-280A]\ * #,##0.00_-;\-[$S/-280A]\ * #,##0.00_-;_-[$S/-280A]\ * &quot;-&quot;??_-;_-@_-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9"/>
      <name val="Times New Roman"/>
      <family val="1"/>
    </font>
    <font>
      <b/>
      <sz val="9"/>
      <color rgb="FF0070C0"/>
      <name val="Times New Roman"/>
      <family val="1"/>
    </font>
    <font>
      <sz val="11"/>
      <color rgb="FF000000"/>
      <name val="Calibri"/>
      <family val="2"/>
    </font>
    <font>
      <sz val="8"/>
      <color rgb="FF000000"/>
      <name val="Microsoft Sans Serif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Times New Roman"/>
      <family val="1"/>
    </font>
    <font>
      <sz val="11"/>
      <color rgb="FF000000"/>
      <name val="Bahnschrift"/>
      <family val="2"/>
    </font>
    <font>
      <b/>
      <sz val="9"/>
      <name val="Bahnschrift"/>
      <family val="2"/>
    </font>
    <font>
      <sz val="9"/>
      <color rgb="FF000000"/>
      <name val="Bahnschrift"/>
      <family val="2"/>
    </font>
    <font>
      <b/>
      <sz val="10"/>
      <name val="Bahnschrift"/>
      <family val="2"/>
    </font>
    <font>
      <b/>
      <sz val="9"/>
      <name val="Aileron Black"/>
      <family val="3"/>
    </font>
    <font>
      <b/>
      <sz val="9"/>
      <color rgb="FF000000"/>
      <name val="Aileron Black"/>
      <family val="3"/>
    </font>
    <font>
      <b/>
      <sz val="12"/>
      <name val="Aileron Bold"/>
      <family val="3"/>
    </font>
    <font>
      <b/>
      <sz val="10"/>
      <name val="Aileron Black"/>
      <family val="3"/>
    </font>
    <font>
      <sz val="9"/>
      <name val="Aileron"/>
      <family val="3"/>
    </font>
    <font>
      <sz val="10"/>
      <color rgb="FF000000"/>
      <name val="Aileron"/>
      <family val="3"/>
    </font>
    <font>
      <sz val="9"/>
      <color rgb="FF000000"/>
      <name val="Aileron"/>
      <family val="3"/>
    </font>
    <font>
      <sz val="10"/>
      <name val="Aileron"/>
      <family val="3"/>
    </font>
    <font>
      <b/>
      <sz val="9"/>
      <color rgb="FF000000"/>
      <name val="Aileron"/>
      <family val="3"/>
    </font>
    <font>
      <sz val="11"/>
      <color theme="1"/>
      <name val="Aileron"/>
      <family val="3"/>
    </font>
    <font>
      <sz val="11"/>
      <color theme="1"/>
      <name val="Bahnschrift"/>
      <family val="2"/>
    </font>
    <font>
      <sz val="11"/>
      <name val="Bahnschrift"/>
      <family val="2"/>
    </font>
    <font>
      <i/>
      <sz val="11"/>
      <name val="Bahnschrift"/>
      <family val="2"/>
    </font>
    <font>
      <b/>
      <sz val="11"/>
      <color theme="1"/>
      <name val="Aileron"/>
      <family val="3"/>
    </font>
    <font>
      <u/>
      <sz val="11"/>
      <color theme="10"/>
      <name val="Calibri"/>
      <family val="2"/>
      <scheme val="minor"/>
    </font>
    <font>
      <sz val="11"/>
      <color theme="1"/>
      <name val="Aileron Black"/>
      <family val="3"/>
    </font>
    <font>
      <b/>
      <sz val="11"/>
      <color theme="1"/>
      <name val="Bahnschrift"/>
      <family val="2"/>
    </font>
    <font>
      <u/>
      <sz val="16"/>
      <color theme="10"/>
      <name val="Calibri"/>
      <family val="2"/>
      <scheme val="minor"/>
    </font>
    <font>
      <b/>
      <sz val="11"/>
      <name val="Bahnschrift"/>
      <family val="2"/>
    </font>
    <font>
      <b/>
      <sz val="14"/>
      <name val="Bahnschrift"/>
      <family val="2"/>
    </font>
    <font>
      <b/>
      <sz val="16"/>
      <color theme="1"/>
      <name val="Aileron Bold"/>
      <family val="3"/>
    </font>
    <font>
      <sz val="11"/>
      <color theme="1"/>
      <name val="Aileron Heavy"/>
      <family val="3"/>
    </font>
    <font>
      <sz val="8"/>
      <name val="Calibri"/>
      <family val="2"/>
      <scheme val="minor"/>
    </font>
    <font>
      <b/>
      <sz val="11"/>
      <color rgb="FFC00000"/>
      <name val="Aileron Black"/>
      <family val="3"/>
    </font>
    <font>
      <b/>
      <sz val="11"/>
      <color rgb="FFFF0000"/>
      <name val="Aileron Black"/>
      <family val="3"/>
    </font>
    <font>
      <b/>
      <sz val="11"/>
      <color rgb="FFFFC000"/>
      <name val="Aileron Black"/>
      <family val="3"/>
    </font>
    <font>
      <b/>
      <sz val="11"/>
      <color rgb="FF92D050"/>
      <name val="Aileron Black"/>
      <family val="3"/>
    </font>
    <font>
      <sz val="16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8" fillId="0" borderId="0" applyNumberFormat="0" applyFill="0" applyBorder="0" applyAlignment="0" applyProtection="0"/>
  </cellStyleXfs>
  <cellXfs count="25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64" fontId="0" fillId="0" borderId="0" xfId="0" applyNumberFormat="1"/>
    <xf numFmtId="0" fontId="0" fillId="0" borderId="0" xfId="0" applyAlignment="1">
      <alignment vertical="center"/>
    </xf>
    <xf numFmtId="165" fontId="0" fillId="0" borderId="0" xfId="2" applyFont="1" applyFill="1" applyAlignment="1">
      <alignment vertical="center"/>
    </xf>
    <xf numFmtId="165" fontId="0" fillId="0" borderId="0" xfId="2" applyFont="1"/>
    <xf numFmtId="165" fontId="0" fillId="0" borderId="0" xfId="0" applyNumberFormat="1" applyAlignment="1">
      <alignment vertical="center"/>
    </xf>
    <xf numFmtId="165" fontId="0" fillId="0" borderId="0" xfId="0" applyNumberFormat="1"/>
    <xf numFmtId="43" fontId="0" fillId="0" borderId="0" xfId="0" applyNumberFormat="1"/>
    <xf numFmtId="9" fontId="0" fillId="0" borderId="8" xfId="0" applyNumberFormat="1" applyBorder="1" applyAlignment="1">
      <alignment vertical="center"/>
    </xf>
    <xf numFmtId="165" fontId="0" fillId="0" borderId="9" xfId="2" applyFont="1" applyBorder="1" applyAlignment="1">
      <alignment vertical="center"/>
    </xf>
    <xf numFmtId="165" fontId="0" fillId="0" borderId="15" xfId="2" applyFont="1" applyBorder="1" applyAlignment="1">
      <alignment vertical="center"/>
    </xf>
    <xf numFmtId="0" fontId="0" fillId="0" borderId="37" xfId="0" applyBorder="1" applyAlignment="1">
      <alignment vertical="center"/>
    </xf>
    <xf numFmtId="165" fontId="0" fillId="0" borderId="18" xfId="2" applyFont="1" applyBorder="1" applyAlignment="1">
      <alignment vertical="center"/>
    </xf>
    <xf numFmtId="0" fontId="0" fillId="0" borderId="25" xfId="0" applyBorder="1" applyAlignment="1">
      <alignment vertical="center"/>
    </xf>
    <xf numFmtId="165" fontId="0" fillId="0" borderId="33" xfId="0" applyNumberFormat="1" applyBorder="1" applyAlignment="1">
      <alignment vertical="center"/>
    </xf>
    <xf numFmtId="9" fontId="0" fillId="0" borderId="0" xfId="1" applyFont="1"/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/>
    <xf numFmtId="165" fontId="0" fillId="0" borderId="16" xfId="0" applyNumberFormat="1" applyBorder="1"/>
    <xf numFmtId="165" fontId="0" fillId="0" borderId="20" xfId="0" applyNumberFormat="1" applyBorder="1"/>
    <xf numFmtId="165" fontId="0" fillId="0" borderId="42" xfId="0" applyNumberFormat="1" applyBorder="1"/>
    <xf numFmtId="165" fontId="0" fillId="0" borderId="39" xfId="0" applyNumberFormat="1" applyBorder="1"/>
    <xf numFmtId="165" fontId="0" fillId="0" borderId="40" xfId="0" applyNumberFormat="1" applyBorder="1"/>
    <xf numFmtId="16" fontId="0" fillId="0" borderId="0" xfId="0" applyNumberFormat="1"/>
    <xf numFmtId="165" fontId="4" fillId="0" borderId="6" xfId="2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0" fillId="0" borderId="0" xfId="0" applyAlignment="1">
      <alignment horizontal="center"/>
    </xf>
    <xf numFmtId="165" fontId="0" fillId="0" borderId="0" xfId="2" applyFont="1" applyBorder="1"/>
    <xf numFmtId="0" fontId="9" fillId="0" borderId="2" xfId="0" applyFont="1" applyBorder="1" applyAlignment="1">
      <alignment vertical="center"/>
    </xf>
    <xf numFmtId="0" fontId="0" fillId="0" borderId="25" xfId="0" applyBorder="1"/>
    <xf numFmtId="0" fontId="0" fillId="0" borderId="31" xfId="0" applyBorder="1"/>
    <xf numFmtId="165" fontId="12" fillId="0" borderId="30" xfId="2" applyFont="1" applyBorder="1" applyAlignment="1">
      <alignment horizontal="center" vertical="center"/>
    </xf>
    <xf numFmtId="165" fontId="12" fillId="0" borderId="30" xfId="2" applyFont="1" applyBorder="1" applyAlignment="1">
      <alignment vertical="center"/>
    </xf>
    <xf numFmtId="165" fontId="12" fillId="0" borderId="43" xfId="2" applyFont="1" applyBorder="1" applyAlignment="1">
      <alignment vertical="center"/>
    </xf>
    <xf numFmtId="165" fontId="12" fillId="0" borderId="41" xfId="2" applyFont="1" applyBorder="1" applyAlignment="1">
      <alignment horizontal="center" vertical="center"/>
    </xf>
    <xf numFmtId="165" fontId="12" fillId="0" borderId="41" xfId="2" applyFont="1" applyBorder="1" applyAlignment="1">
      <alignment vertical="center"/>
    </xf>
    <xf numFmtId="165" fontId="12" fillId="0" borderId="16" xfId="2" applyFont="1" applyBorder="1" applyAlignment="1">
      <alignment vertical="center"/>
    </xf>
    <xf numFmtId="165" fontId="12" fillId="0" borderId="44" xfId="2" applyFont="1" applyBorder="1" applyAlignment="1">
      <alignment horizontal="center" vertical="center"/>
    </xf>
    <xf numFmtId="165" fontId="12" fillId="0" borderId="14" xfId="2" applyFont="1" applyBorder="1" applyAlignment="1">
      <alignment horizontal="center" vertical="center"/>
    </xf>
    <xf numFmtId="165" fontId="12" fillId="0" borderId="14" xfId="2" applyFont="1" applyBorder="1" applyAlignment="1">
      <alignment vertical="center"/>
    </xf>
    <xf numFmtId="165" fontId="12" fillId="0" borderId="23" xfId="2" applyFont="1" applyBorder="1" applyAlignment="1">
      <alignment horizontal="center" vertical="center"/>
    </xf>
    <xf numFmtId="165" fontId="12" fillId="0" borderId="23" xfId="2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8" fillId="0" borderId="29" xfId="0" applyFont="1" applyBorder="1" applyAlignment="1">
      <alignment horizontal="center" vertical="center"/>
    </xf>
    <xf numFmtId="0" fontId="19" fillId="0" borderId="30" xfId="0" applyFont="1" applyBorder="1" applyAlignment="1">
      <alignment wrapText="1"/>
    </xf>
    <xf numFmtId="0" fontId="20" fillId="0" borderId="30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41" xfId="0" applyFont="1" applyBorder="1" applyAlignment="1">
      <alignment wrapText="1"/>
    </xf>
    <xf numFmtId="0" fontId="20" fillId="0" borderId="41" xfId="0" applyFont="1" applyBorder="1" applyAlignment="1">
      <alignment horizontal="center" vertical="center"/>
    </xf>
    <xf numFmtId="0" fontId="19" fillId="0" borderId="41" xfId="0" applyFont="1" applyBorder="1"/>
    <xf numFmtId="0" fontId="18" fillId="0" borderId="17" xfId="0" applyFont="1" applyBorder="1" applyAlignment="1">
      <alignment horizontal="center" vertical="center"/>
    </xf>
    <xf numFmtId="0" fontId="19" fillId="0" borderId="44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20" fillId="0" borderId="14" xfId="0" applyFont="1" applyBorder="1" applyAlignment="1">
      <alignment horizontal="center" vertical="center"/>
    </xf>
    <xf numFmtId="0" fontId="21" fillId="0" borderId="14" xfId="0" applyFont="1" applyBorder="1" applyAlignment="1">
      <alignment wrapText="1"/>
    </xf>
    <xf numFmtId="0" fontId="21" fillId="0" borderId="14" xfId="0" applyFont="1" applyBorder="1" applyAlignment="1">
      <alignment vertical="center" wrapText="1"/>
    </xf>
    <xf numFmtId="0" fontId="23" fillId="0" borderId="2" xfId="0" applyFont="1" applyBorder="1"/>
    <xf numFmtId="165" fontId="24" fillId="0" borderId="43" xfId="2" applyFont="1" applyBorder="1" applyAlignment="1">
      <alignment horizontal="center" vertical="center"/>
    </xf>
    <xf numFmtId="166" fontId="24" fillId="0" borderId="29" xfId="2" applyNumberFormat="1" applyFont="1" applyBorder="1" applyAlignment="1">
      <alignment vertical="center"/>
    </xf>
    <xf numFmtId="165" fontId="24" fillId="0" borderId="19" xfId="2" applyFont="1" applyBorder="1" applyAlignment="1">
      <alignment horizontal="center" vertical="center"/>
    </xf>
    <xf numFmtId="166" fontId="24" fillId="0" borderId="13" xfId="2" applyNumberFormat="1" applyFont="1" applyBorder="1" applyAlignment="1">
      <alignment vertical="center"/>
    </xf>
    <xf numFmtId="166" fontId="24" fillId="0" borderId="22" xfId="2" applyNumberFormat="1" applyFont="1" applyBorder="1" applyAlignment="1">
      <alignment vertical="center"/>
    </xf>
    <xf numFmtId="0" fontId="24" fillId="0" borderId="0" xfId="0" applyFont="1" applyAlignment="1">
      <alignment vertical="center"/>
    </xf>
    <xf numFmtId="0" fontId="11" fillId="0" borderId="10" xfId="0" applyFont="1" applyBorder="1" applyAlignment="1">
      <alignment vertical="center"/>
    </xf>
    <xf numFmtId="0" fontId="25" fillId="0" borderId="0" xfId="0" applyFont="1" applyAlignment="1">
      <alignment vertical="center"/>
    </xf>
    <xf numFmtId="0" fontId="11" fillId="0" borderId="22" xfId="0" applyFont="1" applyBorder="1" applyAlignment="1">
      <alignment vertical="center"/>
    </xf>
    <xf numFmtId="0" fontId="23" fillId="0" borderId="0" xfId="0" applyFont="1"/>
    <xf numFmtId="165" fontId="23" fillId="0" borderId="0" xfId="2" applyFont="1" applyBorder="1"/>
    <xf numFmtId="9" fontId="23" fillId="0" borderId="0" xfId="0" applyNumberFormat="1" applyFont="1"/>
    <xf numFmtId="0" fontId="24" fillId="0" borderId="1" xfId="0" applyFont="1" applyBorder="1" applyAlignment="1">
      <alignment vertical="center"/>
    </xf>
    <xf numFmtId="0" fontId="24" fillId="0" borderId="4" xfId="0" applyFont="1" applyBorder="1" applyAlignment="1">
      <alignment vertical="center"/>
    </xf>
    <xf numFmtId="165" fontId="23" fillId="0" borderId="6" xfId="0" applyNumberFormat="1" applyFont="1" applyBorder="1" applyAlignment="1">
      <alignment vertical="center"/>
    </xf>
    <xf numFmtId="9" fontId="23" fillId="0" borderId="3" xfId="0" applyNumberFormat="1" applyFont="1" applyBorder="1" applyAlignment="1">
      <alignment vertical="center"/>
    </xf>
    <xf numFmtId="165" fontId="23" fillId="0" borderId="7" xfId="0" applyNumberFormat="1" applyFont="1" applyBorder="1" applyAlignment="1">
      <alignment vertical="center"/>
    </xf>
    <xf numFmtId="9" fontId="23" fillId="0" borderId="5" xfId="1" applyFont="1" applyBorder="1" applyAlignment="1">
      <alignment vertical="center"/>
    </xf>
    <xf numFmtId="0" fontId="30" fillId="2" borderId="25" xfId="0" applyFont="1" applyFill="1" applyBorder="1" applyAlignment="1">
      <alignment vertical="center"/>
    </xf>
    <xf numFmtId="165" fontId="29" fillId="2" borderId="33" xfId="0" applyNumberFormat="1" applyFont="1" applyFill="1" applyBorder="1" applyAlignment="1">
      <alignment vertical="center"/>
    </xf>
    <xf numFmtId="9" fontId="27" fillId="2" borderId="32" xfId="1" applyFont="1" applyFill="1" applyBorder="1" applyAlignment="1">
      <alignment vertical="center"/>
    </xf>
    <xf numFmtId="0" fontId="23" fillId="0" borderId="34" xfId="0" applyFont="1" applyBorder="1"/>
    <xf numFmtId="0" fontId="24" fillId="0" borderId="26" xfId="0" applyFont="1" applyBorder="1"/>
    <xf numFmtId="9" fontId="23" fillId="0" borderId="29" xfId="1" applyFont="1" applyBorder="1" applyAlignment="1">
      <alignment vertical="center"/>
    </xf>
    <xf numFmtId="9" fontId="23" fillId="0" borderId="13" xfId="1" applyFont="1" applyBorder="1" applyAlignment="1">
      <alignment vertical="center"/>
    </xf>
    <xf numFmtId="9" fontId="23" fillId="0" borderId="22" xfId="1" applyFont="1" applyBorder="1" applyAlignment="1">
      <alignment vertical="center"/>
    </xf>
    <xf numFmtId="165" fontId="24" fillId="0" borderId="21" xfId="2" applyFont="1" applyBorder="1" applyAlignment="1">
      <alignment horizontal="center" vertical="center"/>
    </xf>
    <xf numFmtId="165" fontId="24" fillId="0" borderId="38" xfId="2" applyFont="1" applyBorder="1" applyAlignment="1">
      <alignment horizontal="center" vertical="center"/>
    </xf>
    <xf numFmtId="165" fontId="24" fillId="0" borderId="11" xfId="2" applyFont="1" applyBorder="1" applyAlignment="1">
      <alignment horizontal="center" vertical="center"/>
    </xf>
    <xf numFmtId="165" fontId="24" fillId="0" borderId="24" xfId="2" applyFont="1" applyBorder="1" applyAlignment="1">
      <alignment horizontal="center" vertical="center"/>
    </xf>
    <xf numFmtId="9" fontId="24" fillId="0" borderId="8" xfId="1" applyFont="1" applyBorder="1" applyAlignment="1">
      <alignment vertical="center"/>
    </xf>
    <xf numFmtId="9" fontId="24" fillId="0" borderId="48" xfId="1" applyFont="1" applyBorder="1" applyAlignment="1">
      <alignment vertical="center"/>
    </xf>
    <xf numFmtId="9" fontId="24" fillId="0" borderId="49" xfId="1" applyFont="1" applyBorder="1" applyAlignment="1">
      <alignment vertical="center"/>
    </xf>
    <xf numFmtId="165" fontId="12" fillId="0" borderId="19" xfId="2" applyFont="1" applyBorder="1" applyAlignment="1">
      <alignment vertical="center"/>
    </xf>
    <xf numFmtId="165" fontId="12" fillId="0" borderId="21" xfId="2" applyFont="1" applyBorder="1" applyAlignment="1">
      <alignment vertical="center"/>
    </xf>
    <xf numFmtId="165" fontId="23" fillId="0" borderId="0" xfId="0" applyNumberFormat="1" applyFont="1"/>
    <xf numFmtId="165" fontId="0" fillId="0" borderId="0" xfId="2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0" fontId="0" fillId="0" borderId="0" xfId="0" applyAlignment="1">
      <alignment horizontal="centerContinuous"/>
    </xf>
    <xf numFmtId="166" fontId="24" fillId="0" borderId="17" xfId="2" applyNumberFormat="1" applyFont="1" applyBorder="1" applyAlignment="1">
      <alignment vertical="center"/>
    </xf>
    <xf numFmtId="9" fontId="23" fillId="0" borderId="17" xfId="1" applyFont="1" applyBorder="1" applyAlignment="1">
      <alignment vertical="center"/>
    </xf>
    <xf numFmtId="9" fontId="24" fillId="0" borderId="37" xfId="1" applyFont="1" applyBorder="1" applyAlignment="1">
      <alignment vertical="center"/>
    </xf>
    <xf numFmtId="9" fontId="26" fillId="0" borderId="31" xfId="0" applyNumberFormat="1" applyFont="1" applyBorder="1"/>
    <xf numFmtId="165" fontId="23" fillId="0" borderId="13" xfId="2" applyFont="1" applyBorder="1" applyAlignment="1">
      <alignment vertical="center"/>
    </xf>
    <xf numFmtId="165" fontId="24" fillId="0" borderId="42" xfId="2" applyFont="1" applyBorder="1" applyAlignment="1">
      <alignment horizontal="center" vertical="center"/>
    </xf>
    <xf numFmtId="9" fontId="0" fillId="0" borderId="0" xfId="1" applyFont="1" applyBorder="1"/>
    <xf numFmtId="0" fontId="0" fillId="0" borderId="0" xfId="0" applyAlignment="1">
      <alignment horizontal="center" vertical="center"/>
    </xf>
    <xf numFmtId="0" fontId="11" fillId="0" borderId="33" xfId="0" applyFont="1" applyBorder="1" applyAlignment="1">
      <alignment vertical="center" wrapText="1"/>
    </xf>
    <xf numFmtId="2" fontId="23" fillId="0" borderId="0" xfId="1" applyNumberFormat="1" applyFont="1" applyFill="1" applyBorder="1" applyAlignment="1">
      <alignment vertical="center"/>
    </xf>
    <xf numFmtId="0" fontId="0" fillId="0" borderId="51" xfId="0" applyBorder="1" applyAlignment="1">
      <alignment horizontal="center"/>
    </xf>
    <xf numFmtId="0" fontId="0" fillId="0" borderId="52" xfId="0" applyBorder="1"/>
    <xf numFmtId="165" fontId="0" fillId="0" borderId="50" xfId="0" applyNumberFormat="1" applyBorder="1"/>
    <xf numFmtId="165" fontId="0" fillId="0" borderId="51" xfId="0" applyNumberFormat="1" applyBorder="1"/>
    <xf numFmtId="0" fontId="14" fillId="3" borderId="6" xfId="0" applyFont="1" applyFill="1" applyBorder="1" applyAlignment="1">
      <alignment horizontal="center" vertical="center" wrapText="1"/>
    </xf>
    <xf numFmtId="0" fontId="14" fillId="3" borderId="7" xfId="0" applyFont="1" applyFill="1" applyBorder="1" applyAlignment="1">
      <alignment horizontal="center" vertical="center" wrapText="1"/>
    </xf>
    <xf numFmtId="2" fontId="17" fillId="4" borderId="6" xfId="0" applyNumberFormat="1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4" fillId="4" borderId="3" xfId="0" applyFont="1" applyFill="1" applyBorder="1" applyAlignment="1">
      <alignment vertical="center"/>
    </xf>
    <xf numFmtId="165" fontId="3" fillId="4" borderId="25" xfId="2" applyFont="1" applyFill="1" applyBorder="1" applyAlignment="1">
      <alignment vertical="center"/>
    </xf>
    <xf numFmtId="165" fontId="3" fillId="4" borderId="31" xfId="2" applyFont="1" applyFill="1" applyBorder="1" applyAlignment="1">
      <alignment vertical="center"/>
    </xf>
    <xf numFmtId="0" fontId="4" fillId="4" borderId="31" xfId="0" applyFont="1" applyFill="1" applyBorder="1" applyAlignment="1">
      <alignment vertical="center"/>
    </xf>
    <xf numFmtId="0" fontId="5" fillId="4" borderId="32" xfId="0" applyFont="1" applyFill="1" applyBorder="1" applyAlignment="1">
      <alignment vertical="center"/>
    </xf>
    <xf numFmtId="0" fontId="3" fillId="4" borderId="31" xfId="0" applyFont="1" applyFill="1" applyBorder="1" applyAlignment="1">
      <alignment vertical="center" wrapText="1"/>
    </xf>
    <xf numFmtId="0" fontId="3" fillId="4" borderId="26" xfId="0" applyFont="1" applyFill="1" applyBorder="1" applyAlignment="1">
      <alignment vertical="center" wrapText="1"/>
    </xf>
    <xf numFmtId="0" fontId="3" fillId="4" borderId="3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167" fontId="13" fillId="4" borderId="6" xfId="2" applyNumberFormat="1" applyFont="1" applyFill="1" applyBorder="1" applyAlignment="1">
      <alignment vertical="center"/>
    </xf>
    <xf numFmtId="167" fontId="10" fillId="0" borderId="1" xfId="0" applyNumberFormat="1" applyFont="1" applyBorder="1" applyAlignment="1">
      <alignment vertical="center"/>
    </xf>
    <xf numFmtId="167" fontId="10" fillId="0" borderId="4" xfId="0" applyNumberFormat="1" applyFont="1" applyBorder="1" applyAlignment="1">
      <alignment vertical="center"/>
    </xf>
    <xf numFmtId="167" fontId="13" fillId="4" borderId="33" xfId="2" applyNumberFormat="1" applyFont="1" applyFill="1" applyBorder="1" applyAlignment="1">
      <alignment vertical="center"/>
    </xf>
    <xf numFmtId="167" fontId="10" fillId="0" borderId="3" xfId="0" applyNumberFormat="1" applyFont="1" applyBorder="1" applyAlignment="1">
      <alignment vertical="center"/>
    </xf>
    <xf numFmtId="167" fontId="10" fillId="0" borderId="5" xfId="0" applyNumberFormat="1" applyFont="1" applyBorder="1" applyAlignment="1">
      <alignment vertical="center"/>
    </xf>
    <xf numFmtId="167" fontId="10" fillId="0" borderId="27" xfId="0" applyNumberFormat="1" applyFont="1" applyBorder="1" applyAlignment="1">
      <alignment vertical="center"/>
    </xf>
    <xf numFmtId="167" fontId="32" fillId="4" borderId="33" xfId="2" applyNumberFormat="1" applyFont="1" applyFill="1" applyBorder="1" applyAlignment="1">
      <alignment vertical="center" wrapText="1"/>
    </xf>
    <xf numFmtId="167" fontId="32" fillId="4" borderId="12" xfId="2" applyNumberFormat="1" applyFont="1" applyFill="1" applyBorder="1" applyAlignment="1">
      <alignment vertical="center" wrapText="1"/>
    </xf>
    <xf numFmtId="167" fontId="32" fillId="4" borderId="18" xfId="2" applyNumberFormat="1" applyFont="1" applyFill="1" applyBorder="1" applyAlignment="1">
      <alignment vertical="center"/>
    </xf>
    <xf numFmtId="167" fontId="33" fillId="4" borderId="33" xfId="2" applyNumberFormat="1" applyFont="1" applyFill="1" applyBorder="1" applyAlignment="1">
      <alignment vertical="center"/>
    </xf>
    <xf numFmtId="167" fontId="23" fillId="0" borderId="30" xfId="1" applyNumberFormat="1" applyFont="1" applyBorder="1" applyAlignment="1">
      <alignment vertical="center"/>
    </xf>
    <xf numFmtId="167" fontId="23" fillId="0" borderId="30" xfId="1" applyNumberFormat="1" applyFont="1" applyBorder="1" applyAlignment="1">
      <alignment horizontal="center" vertical="center"/>
    </xf>
    <xf numFmtId="167" fontId="23" fillId="0" borderId="14" xfId="1" applyNumberFormat="1" applyFont="1" applyBorder="1" applyAlignment="1">
      <alignment vertical="center"/>
    </xf>
    <xf numFmtId="167" fontId="23" fillId="0" borderId="14" xfId="1" applyNumberFormat="1" applyFont="1" applyBorder="1" applyAlignment="1">
      <alignment horizontal="center" vertical="center"/>
    </xf>
    <xf numFmtId="167" fontId="23" fillId="0" borderId="23" xfId="1" applyNumberFormat="1" applyFont="1" applyBorder="1" applyAlignment="1">
      <alignment vertical="center"/>
    </xf>
    <xf numFmtId="167" fontId="23" fillId="0" borderId="23" xfId="1" applyNumberFormat="1" applyFont="1" applyBorder="1" applyAlignment="1">
      <alignment horizontal="center" vertical="center"/>
    </xf>
    <xf numFmtId="167" fontId="23" fillId="0" borderId="26" xfId="0" applyNumberFormat="1" applyFont="1" applyBorder="1"/>
    <xf numFmtId="167" fontId="23" fillId="0" borderId="45" xfId="1" applyNumberFormat="1" applyFont="1" applyBorder="1" applyAlignment="1">
      <alignment vertical="center"/>
    </xf>
    <xf numFmtId="167" fontId="23" fillId="0" borderId="47" xfId="1" applyNumberFormat="1" applyFont="1" applyBorder="1" applyAlignment="1">
      <alignment vertical="center"/>
    </xf>
    <xf numFmtId="167" fontId="23" fillId="0" borderId="47" xfId="2" applyNumberFormat="1" applyFont="1" applyBorder="1" applyAlignment="1">
      <alignment vertical="center"/>
    </xf>
    <xf numFmtId="167" fontId="23" fillId="0" borderId="14" xfId="2" applyNumberFormat="1" applyFont="1" applyBorder="1" applyAlignment="1">
      <alignment horizontal="center" vertical="center"/>
    </xf>
    <xf numFmtId="167" fontId="23" fillId="0" borderId="46" xfId="1" applyNumberFormat="1" applyFont="1" applyBorder="1" applyAlignment="1">
      <alignment vertical="center"/>
    </xf>
    <xf numFmtId="167" fontId="23" fillId="0" borderId="0" xfId="0" applyNumberFormat="1" applyFont="1"/>
    <xf numFmtId="167" fontId="23" fillId="0" borderId="0" xfId="0" applyNumberFormat="1" applyFont="1" applyAlignment="1">
      <alignment horizontal="center"/>
    </xf>
    <xf numFmtId="167" fontId="23" fillId="0" borderId="20" xfId="1" applyNumberFormat="1" applyFont="1" applyBorder="1" applyAlignment="1">
      <alignment vertical="center"/>
    </xf>
    <xf numFmtId="167" fontId="23" fillId="0" borderId="20" xfId="1" applyNumberFormat="1" applyFont="1" applyBorder="1" applyAlignment="1">
      <alignment horizontal="center" vertical="center"/>
    </xf>
    <xf numFmtId="167" fontId="23" fillId="0" borderId="31" xfId="0" applyNumberFormat="1" applyFont="1" applyBorder="1"/>
    <xf numFmtId="167" fontId="23" fillId="0" borderId="31" xfId="0" applyNumberFormat="1" applyFont="1" applyBorder="1" applyAlignment="1">
      <alignment horizontal="center"/>
    </xf>
    <xf numFmtId="167" fontId="24" fillId="0" borderId="38" xfId="2" applyNumberFormat="1" applyFont="1" applyBorder="1" applyAlignment="1">
      <alignment vertical="center"/>
    </xf>
    <xf numFmtId="167" fontId="24" fillId="0" borderId="11" xfId="2" applyNumberFormat="1" applyFont="1" applyBorder="1" applyAlignment="1">
      <alignment vertical="center"/>
    </xf>
    <xf numFmtId="167" fontId="24" fillId="0" borderId="24" xfId="2" applyNumberFormat="1" applyFont="1" applyBorder="1" applyAlignment="1">
      <alignment vertical="center"/>
    </xf>
    <xf numFmtId="167" fontId="24" fillId="0" borderId="26" xfId="0" applyNumberFormat="1" applyFont="1" applyBorder="1"/>
    <xf numFmtId="167" fontId="24" fillId="0" borderId="43" xfId="2" applyNumberFormat="1" applyFont="1" applyBorder="1" applyAlignment="1">
      <alignment vertical="center"/>
    </xf>
    <xf numFmtId="167" fontId="24" fillId="0" borderId="19" xfId="2" applyNumberFormat="1" applyFont="1" applyBorder="1" applyAlignment="1">
      <alignment vertical="center"/>
    </xf>
    <xf numFmtId="167" fontId="24" fillId="0" borderId="21" xfId="2" applyNumberFormat="1" applyFont="1" applyBorder="1" applyAlignment="1">
      <alignment vertical="center"/>
    </xf>
    <xf numFmtId="167" fontId="0" fillId="0" borderId="0" xfId="0" applyNumberFormat="1"/>
    <xf numFmtId="167" fontId="24" fillId="0" borderId="50" xfId="2" applyNumberFormat="1" applyFont="1" applyBorder="1" applyAlignment="1">
      <alignment vertical="center"/>
    </xf>
    <xf numFmtId="167" fontId="0" fillId="0" borderId="31" xfId="0" applyNumberFormat="1" applyBorder="1"/>
    <xf numFmtId="167" fontId="25" fillId="0" borderId="32" xfId="2" applyNumberFormat="1" applyFont="1" applyBorder="1" applyAlignment="1">
      <alignment vertical="center"/>
    </xf>
    <xf numFmtId="167" fontId="25" fillId="0" borderId="16" xfId="2" applyNumberFormat="1" applyFont="1" applyBorder="1" applyAlignment="1">
      <alignment vertical="center"/>
    </xf>
    <xf numFmtId="167" fontId="25" fillId="0" borderId="21" xfId="2" applyNumberFormat="1" applyFont="1" applyBorder="1" applyAlignment="1">
      <alignment vertical="center"/>
    </xf>
    <xf numFmtId="167" fontId="24" fillId="0" borderId="30" xfId="2" applyNumberFormat="1" applyFont="1" applyBorder="1" applyAlignment="1">
      <alignment vertical="center"/>
    </xf>
    <xf numFmtId="167" fontId="24" fillId="0" borderId="14" xfId="2" applyNumberFormat="1" applyFont="1" applyBorder="1" applyAlignment="1">
      <alignment vertical="center"/>
    </xf>
    <xf numFmtId="167" fontId="24" fillId="0" borderId="23" xfId="2" applyNumberFormat="1" applyFont="1" applyBorder="1" applyAlignment="1">
      <alignment vertical="center"/>
    </xf>
    <xf numFmtId="167" fontId="0" fillId="0" borderId="5" xfId="0" applyNumberFormat="1" applyBorder="1"/>
    <xf numFmtId="167" fontId="24" fillId="0" borderId="41" xfId="2" applyNumberFormat="1" applyFont="1" applyBorder="1" applyAlignment="1">
      <alignment vertical="center"/>
    </xf>
    <xf numFmtId="167" fontId="24" fillId="0" borderId="16" xfId="0" applyNumberFormat="1" applyFont="1" applyBorder="1" applyAlignment="1">
      <alignment vertical="center"/>
    </xf>
    <xf numFmtId="167" fontId="24" fillId="0" borderId="21" xfId="0" applyNumberFormat="1" applyFont="1" applyBorder="1" applyAlignment="1">
      <alignment vertical="center"/>
    </xf>
    <xf numFmtId="0" fontId="11" fillId="0" borderId="53" xfId="0" applyFont="1" applyBorder="1" applyAlignment="1">
      <alignment vertical="center" wrapText="1"/>
    </xf>
    <xf numFmtId="167" fontId="24" fillId="0" borderId="0" xfId="2" applyNumberFormat="1" applyFont="1" applyBorder="1" applyAlignment="1">
      <alignment vertical="center"/>
    </xf>
    <xf numFmtId="9" fontId="24" fillId="0" borderId="29" xfId="1" applyFont="1" applyBorder="1" applyAlignment="1">
      <alignment vertical="center"/>
    </xf>
    <xf numFmtId="9" fontId="24" fillId="0" borderId="13" xfId="1" applyFont="1" applyBorder="1" applyAlignment="1">
      <alignment vertical="center"/>
    </xf>
    <xf numFmtId="9" fontId="24" fillId="0" borderId="22" xfId="1" applyFont="1" applyBorder="1" applyAlignment="1">
      <alignment vertical="center"/>
    </xf>
    <xf numFmtId="0" fontId="24" fillId="0" borderId="0" xfId="0" applyFont="1"/>
    <xf numFmtId="167" fontId="24" fillId="0" borderId="0" xfId="0" applyNumberFormat="1" applyFont="1"/>
    <xf numFmtId="167" fontId="24" fillId="0" borderId="5" xfId="0" applyNumberFormat="1" applyFont="1" applyBorder="1"/>
    <xf numFmtId="9" fontId="26" fillId="0" borderId="26" xfId="0" applyNumberFormat="1" applyFont="1" applyBorder="1"/>
    <xf numFmtId="167" fontId="24" fillId="0" borderId="54" xfId="2" applyNumberFormat="1" applyFont="1" applyBorder="1" applyAlignment="1">
      <alignment vertical="center"/>
    </xf>
    <xf numFmtId="167" fontId="24" fillId="0" borderId="55" xfId="2" applyNumberFormat="1" applyFont="1" applyBorder="1" applyAlignment="1">
      <alignment vertical="center"/>
    </xf>
    <xf numFmtId="0" fontId="23" fillId="9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3" fillId="8" borderId="0" xfId="0" applyFont="1" applyFill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35" fillId="5" borderId="25" xfId="0" applyFont="1" applyFill="1" applyBorder="1"/>
    <xf numFmtId="0" fontId="35" fillId="5" borderId="31" xfId="0" applyFont="1" applyFill="1" applyBorder="1"/>
    <xf numFmtId="0" fontId="35" fillId="5" borderId="32" xfId="0" applyFont="1" applyFill="1" applyBorder="1"/>
    <xf numFmtId="0" fontId="23" fillId="5" borderId="56" xfId="0" applyFont="1" applyFill="1" applyBorder="1" applyAlignment="1">
      <alignment wrapText="1"/>
    </xf>
    <xf numFmtId="0" fontId="23" fillId="5" borderId="39" xfId="0" applyFont="1" applyFill="1" applyBorder="1" applyAlignment="1">
      <alignment wrapText="1"/>
    </xf>
    <xf numFmtId="0" fontId="23" fillId="5" borderId="40" xfId="0" applyFont="1" applyFill="1" applyBorder="1" applyAlignment="1">
      <alignment wrapText="1"/>
    </xf>
    <xf numFmtId="0" fontId="23" fillId="5" borderId="41" xfId="0" applyFont="1" applyFill="1" applyBorder="1" applyAlignment="1">
      <alignment horizontal="center" vertical="center"/>
    </xf>
    <xf numFmtId="0" fontId="38" fillId="5" borderId="41" xfId="0" applyFont="1" applyFill="1" applyBorder="1" applyAlignment="1">
      <alignment horizontal="center" vertical="center"/>
    </xf>
    <xf numFmtId="0" fontId="39" fillId="5" borderId="41" xfId="0" applyFont="1" applyFill="1" applyBorder="1" applyAlignment="1">
      <alignment horizontal="center" vertical="center"/>
    </xf>
    <xf numFmtId="0" fontId="37" fillId="5" borderId="41" xfId="0" applyFont="1" applyFill="1" applyBorder="1" applyAlignment="1">
      <alignment horizontal="center" vertical="center"/>
    </xf>
    <xf numFmtId="0" fontId="23" fillId="5" borderId="14" xfId="0" applyFont="1" applyFill="1" applyBorder="1" applyAlignment="1">
      <alignment horizontal="center" vertical="center"/>
    </xf>
    <xf numFmtId="0" fontId="23" fillId="5" borderId="47" xfId="0" applyFont="1" applyFill="1" applyBorder="1" applyAlignment="1">
      <alignment horizontal="center" vertical="center"/>
    </xf>
    <xf numFmtId="0" fontId="40" fillId="5" borderId="41" xfId="0" applyFont="1" applyFill="1" applyBorder="1" applyAlignment="1">
      <alignment horizontal="center" vertical="center"/>
    </xf>
    <xf numFmtId="0" fontId="34" fillId="5" borderId="6" xfId="0" applyFont="1" applyFill="1" applyBorder="1" applyAlignment="1">
      <alignment horizontal="center" vertical="center" textRotation="90"/>
    </xf>
    <xf numFmtId="0" fontId="34" fillId="5" borderId="7" xfId="0" applyFont="1" applyFill="1" applyBorder="1" applyAlignment="1">
      <alignment horizontal="center" vertical="center" textRotation="90"/>
    </xf>
    <xf numFmtId="0" fontId="34" fillId="5" borderId="28" xfId="0" applyFont="1" applyFill="1" applyBorder="1" applyAlignment="1">
      <alignment horizontal="center" vertical="center" textRotation="90"/>
    </xf>
    <xf numFmtId="0" fontId="34" fillId="5" borderId="25" xfId="0" applyFont="1" applyFill="1" applyBorder="1" applyAlignment="1">
      <alignment horizontal="center" vertical="center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34" xfId="0" applyFont="1" applyFill="1" applyBorder="1" applyAlignment="1">
      <alignment horizontal="center" vertical="center" wrapText="1"/>
    </xf>
    <xf numFmtId="0" fontId="6" fillId="4" borderId="26" xfId="0" applyFont="1" applyFill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22" fillId="5" borderId="6" xfId="0" applyFont="1" applyFill="1" applyBorder="1" applyAlignment="1">
      <alignment horizontal="center" vertical="center" wrapText="1"/>
    </xf>
    <xf numFmtId="0" fontId="22" fillId="5" borderId="7" xfId="0" applyFont="1" applyFill="1" applyBorder="1" applyAlignment="1">
      <alignment horizontal="center" vertical="center" wrapText="1"/>
    </xf>
    <xf numFmtId="0" fontId="22" fillId="5" borderId="28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 wrapText="1"/>
    </xf>
    <xf numFmtId="0" fontId="22" fillId="5" borderId="4" xfId="0" applyFont="1" applyFill="1" applyBorder="1" applyAlignment="1">
      <alignment horizontal="center" vertical="center" wrapText="1"/>
    </xf>
    <xf numFmtId="0" fontId="22" fillId="6" borderId="6" xfId="0" applyFont="1" applyFill="1" applyBorder="1" applyAlignment="1">
      <alignment horizontal="center" vertical="center" wrapText="1"/>
    </xf>
    <xf numFmtId="0" fontId="22" fillId="6" borderId="7" xfId="0" applyFont="1" applyFill="1" applyBorder="1" applyAlignment="1">
      <alignment horizontal="center" vertical="center" wrapText="1"/>
    </xf>
    <xf numFmtId="0" fontId="22" fillId="6" borderId="28" xfId="0" applyFont="1" applyFill="1" applyBorder="1" applyAlignment="1">
      <alignment horizontal="center" vertical="center" wrapText="1"/>
    </xf>
    <xf numFmtId="0" fontId="31" fillId="0" borderId="2" xfId="3" applyFont="1" applyBorder="1" applyAlignment="1">
      <alignment vertical="center"/>
    </xf>
    <xf numFmtId="0" fontId="31" fillId="0" borderId="3" xfId="3" applyFont="1" applyBorder="1" applyAlignment="1">
      <alignment vertical="center"/>
    </xf>
    <xf numFmtId="0" fontId="31" fillId="0" borderId="34" xfId="3" applyFont="1" applyBorder="1" applyAlignment="1">
      <alignment vertical="center"/>
    </xf>
    <xf numFmtId="0" fontId="31" fillId="0" borderId="26" xfId="3" applyFont="1" applyBorder="1" applyAlignment="1">
      <alignment vertical="center"/>
    </xf>
    <xf numFmtId="0" fontId="31" fillId="0" borderId="27" xfId="3" applyFont="1" applyBorder="1" applyAlignment="1">
      <alignment vertical="center"/>
    </xf>
    <xf numFmtId="0" fontId="41" fillId="0" borderId="1" xfId="3" applyFont="1" applyBorder="1" applyAlignment="1">
      <alignment vertical="center"/>
    </xf>
    <xf numFmtId="0" fontId="42" fillId="0" borderId="0" xfId="0" applyFont="1"/>
  </cellXfs>
  <cellStyles count="4">
    <cellStyle name="Hipervínculo" xfId="3" builtinId="8"/>
    <cellStyle name="Millares 2 2" xfId="2" xr:uid="{1E01E570-E068-437E-A741-79EEDECCD8EF}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21979</xdr:colOff>
      <xdr:row>8</xdr:row>
      <xdr:rowOff>57977</xdr:rowOff>
    </xdr:from>
    <xdr:to>
      <xdr:col>3</xdr:col>
      <xdr:colOff>85725</xdr:colOff>
      <xdr:row>12</xdr:row>
      <xdr:rowOff>124238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8DEFAD4A-1B2C-4EC7-89ED-81930DF451E8}"/>
            </a:ext>
          </a:extLst>
        </xdr:cNvPr>
        <xdr:cNvSpPr txBox="1">
          <a:spLocks noChangeArrowheads="1"/>
        </xdr:cNvSpPr>
      </xdr:nvSpPr>
      <xdr:spPr bwMode="auto">
        <a:xfrm>
          <a:off x="783979" y="1829627"/>
          <a:ext cx="4569071" cy="828261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l">
            <a:lnSpc>
              <a:spcPts val="1200"/>
            </a:lnSpc>
            <a:spcAft>
              <a:spcPts val="0"/>
            </a:spcAft>
          </a:pPr>
          <a:r>
            <a:rPr lang="es-ES_tradnl" sz="1200" b="1">
              <a:solidFill>
                <a:sysClr val="windowText" lastClr="000000"/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Representante</a:t>
          </a:r>
          <a:r>
            <a:rPr lang="es-PE" sz="1200" b="1">
              <a:solidFill>
                <a:sysClr val="windowText" lastClr="000000"/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:</a:t>
          </a:r>
          <a:endParaRPr lang="es-PE" sz="1200" b="1">
            <a:solidFill>
              <a:srgbClr val="7F909D"/>
            </a:solidFill>
            <a:effectLst/>
            <a:latin typeface="Aileron" panose="00000500000000000000" pitchFamily="50" charset="0"/>
            <a:ea typeface="Batang"/>
            <a:cs typeface="Times New Roman" panose="02020603050405020304" pitchFamily="18" charset="0"/>
          </a:endParaRPr>
        </a:p>
        <a:p>
          <a:pPr algn="l">
            <a:lnSpc>
              <a:spcPts val="1200"/>
            </a:lnSpc>
            <a:spcAft>
              <a:spcPts val="0"/>
            </a:spcAft>
          </a:pPr>
          <a:r>
            <a:rPr lang="es-ES_tradnl" sz="1200" b="1">
              <a:solidFill>
                <a:sysClr val="windowText" lastClr="000000"/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Descripcion:  </a:t>
          </a:r>
          <a:endParaRPr lang="es-ES_tradnl" sz="1200" b="1" baseline="0">
            <a:solidFill>
              <a:srgbClr val="808080"/>
            </a:solidFill>
            <a:effectLst/>
            <a:latin typeface="Aileron" panose="00000500000000000000" pitchFamily="50" charset="0"/>
            <a:ea typeface="Batang"/>
            <a:cs typeface="Times New Roman" panose="02020603050405020304" pitchFamily="18" charset="0"/>
          </a:endParaRPr>
        </a:p>
        <a:p>
          <a:pPr algn="l">
            <a:lnSpc>
              <a:spcPts val="1200"/>
            </a:lnSpc>
            <a:spcAft>
              <a:spcPts val="0"/>
            </a:spcAft>
          </a:pPr>
          <a:r>
            <a:rPr lang="es-ES_tradnl" sz="1200" b="1">
              <a:solidFill>
                <a:sysClr val="windowText" lastClr="000000"/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Forma de pago:  </a:t>
          </a:r>
          <a:br>
            <a:rPr lang="es-ES_tradnl" sz="1200" b="1">
              <a:solidFill>
                <a:sysClr val="windowText" lastClr="000000"/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</a:br>
          <a:r>
            <a:rPr lang="es-PE" sz="1200" b="1">
              <a:solidFill>
                <a:sysClr val="windowText" lastClr="000000"/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Fecha</a:t>
          </a:r>
          <a:r>
            <a:rPr lang="es-ES_tradnl" sz="1200" b="1">
              <a:solidFill>
                <a:sysClr val="windowText" lastClr="000000"/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:  </a:t>
          </a:r>
          <a:endParaRPr lang="es-PE" sz="1200" b="1">
            <a:solidFill>
              <a:srgbClr val="7F909D"/>
            </a:solidFill>
            <a:effectLst/>
            <a:latin typeface="Aileron" panose="00000500000000000000" pitchFamily="50" charset="0"/>
            <a:ea typeface="Batang"/>
            <a:cs typeface="Times New Roman" panose="02020603050405020304" pitchFamily="18" charset="0"/>
          </a:endParaRPr>
        </a:p>
        <a:p>
          <a:pPr algn="l">
            <a:lnSpc>
              <a:spcPts val="1200"/>
            </a:lnSpc>
            <a:spcAft>
              <a:spcPts val="0"/>
            </a:spcAft>
          </a:pPr>
          <a:r>
            <a:rPr lang="es-PE" sz="1200" b="1">
              <a:solidFill>
                <a:sysClr val="windowText" lastClr="000000"/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Validez</a:t>
          </a:r>
          <a:r>
            <a:rPr lang="es-ES_tradnl" sz="1200" b="1">
              <a:solidFill>
                <a:sysClr val="windowText" lastClr="000000"/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:  </a:t>
          </a:r>
          <a:endParaRPr lang="es-PE" sz="1200" b="1">
            <a:solidFill>
              <a:srgbClr val="7F909D"/>
            </a:solidFill>
            <a:effectLst/>
            <a:latin typeface="Aileron" panose="00000500000000000000" pitchFamily="50" charset="0"/>
            <a:ea typeface="Batang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57978</xdr:colOff>
      <xdr:row>54</xdr:row>
      <xdr:rowOff>66675</xdr:rowOff>
    </xdr:from>
    <xdr:to>
      <xdr:col>5</xdr:col>
      <xdr:colOff>1548848</xdr:colOff>
      <xdr:row>56</xdr:row>
      <xdr:rowOff>449035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4762659A-48C3-43F1-8485-8057C1E477A1}"/>
            </a:ext>
          </a:extLst>
        </xdr:cNvPr>
        <xdr:cNvSpPr txBox="1">
          <a:spLocks noChangeArrowheads="1"/>
        </xdr:cNvSpPr>
      </xdr:nvSpPr>
      <xdr:spPr bwMode="auto">
        <a:xfrm>
          <a:off x="819978" y="10887075"/>
          <a:ext cx="6977270" cy="1020535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l">
            <a:lnSpc>
              <a:spcPts val="1200"/>
            </a:lnSpc>
            <a:spcAft>
              <a:spcPts val="0"/>
            </a:spcAft>
          </a:pPr>
          <a:r>
            <a:rPr lang="es-ES_tradnl" sz="1050" b="1">
              <a:solidFill>
                <a:schemeClr val="accent1">
                  <a:lumMod val="50000"/>
                </a:schemeClr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-</a:t>
          </a:r>
          <a:r>
            <a:rPr lang="es-ES_tradnl" sz="1100" b="1">
              <a:solidFill>
                <a:schemeClr val="accent1">
                  <a:lumMod val="50000"/>
                </a:schemeClr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Gastos Generales incluyen</a:t>
          </a:r>
          <a:r>
            <a:rPr lang="es-ES_tradnl" sz="1050" b="1">
              <a:solidFill>
                <a:schemeClr val="accent1">
                  <a:lumMod val="50000"/>
                </a:schemeClr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: </a:t>
          </a:r>
          <a:r>
            <a:rPr lang="es-PE" sz="1050" b="0">
              <a:solidFill>
                <a:schemeClr val="accent1">
                  <a:lumMod val="50000"/>
                </a:schemeClr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Acarreo de material excedente, Limpieza</a:t>
          </a:r>
          <a:r>
            <a:rPr lang="es-PE" sz="1050" b="0" baseline="0">
              <a:solidFill>
                <a:schemeClr val="accent1">
                  <a:lumMod val="50000"/>
                </a:schemeClr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 constante durante la obra, Fletes, Mobilidad y EPPs. </a:t>
          </a:r>
        </a:p>
        <a:p>
          <a:pPr algn="l">
            <a:lnSpc>
              <a:spcPts val="1200"/>
            </a:lnSpc>
            <a:spcAft>
              <a:spcPts val="0"/>
            </a:spcAft>
          </a:pPr>
          <a:r>
            <a:rPr lang="es-PE" sz="1050" b="1" baseline="0">
              <a:solidFill>
                <a:schemeClr val="accent1">
                  <a:lumMod val="50000"/>
                </a:schemeClr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-</a:t>
          </a:r>
          <a:r>
            <a:rPr lang="es-PE" sz="1100" b="1" baseline="0">
              <a:solidFill>
                <a:schemeClr val="accent1">
                  <a:lumMod val="50000"/>
                </a:schemeClr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Utilidad</a:t>
          </a:r>
          <a:r>
            <a:rPr lang="es-PE" sz="1050" b="0" baseline="0">
              <a:solidFill>
                <a:schemeClr val="accent1">
                  <a:lumMod val="50000"/>
                </a:schemeClr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: </a:t>
          </a:r>
          <a:r>
            <a:rPr kumimoji="0" lang="es-PE" sz="1050" b="0" i="0" u="none" strike="noStrike" kern="0" cap="none" spc="0" normalizeH="0" baseline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uLnTx/>
              <a:uFillTx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incluye gestión, control de calidad y respuesta inmediata.</a:t>
          </a:r>
        </a:p>
        <a:p>
          <a:pPr marL="0" marR="0" lvl="0" indent="0" algn="l" defTabSz="91440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_tradnl" sz="1050" b="1" i="0" u="none" strike="noStrike" kern="0" cap="none" spc="0" normalizeH="0" baseline="0" noProof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uLnTx/>
              <a:uFillTx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-</a:t>
          </a:r>
          <a:r>
            <a:rPr kumimoji="0" lang="es-ES_tradnl" sz="1100" b="1" i="0" u="none" strike="noStrike" kern="0" cap="none" spc="0" normalizeH="0" baseline="0" noProof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uLnTx/>
              <a:uFillTx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Cambios</a:t>
          </a:r>
          <a:r>
            <a:rPr kumimoji="0" lang="es-ES_tradnl" sz="1050" b="1" i="0" u="none" strike="noStrike" kern="0" cap="none" spc="0" normalizeH="0" baseline="0" noProof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uLnTx/>
              <a:uFillTx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: </a:t>
          </a:r>
          <a:r>
            <a:rPr kumimoji="0" lang="es-PE" sz="1050" b="0" i="0" u="none" strike="noStrike" kern="0" cap="none" spc="0" normalizeH="0" baseline="0" noProof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uLnTx/>
              <a:uFillTx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Cualquier cambio solicitado por el cliente de ahora en adelante será cobrado en funcion a S/. 50 x m2</a:t>
          </a:r>
          <a:r>
            <a:rPr kumimoji="0" lang="es-PE" sz="1050" b="1" i="0" u="none" strike="noStrike" kern="0" cap="none" spc="0" normalizeH="0" baseline="0" noProof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uLnTx/>
              <a:uFillTx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. </a:t>
          </a:r>
        </a:p>
        <a:p>
          <a:pPr marL="0" marR="0" lvl="0" indent="0" algn="l" defTabSz="91440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_tradnl" sz="1050" b="1" i="0" u="none" strike="noStrike" kern="0" cap="none" spc="0" normalizeH="0" baseline="0" noProof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uLnTx/>
              <a:uFillTx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-</a:t>
          </a:r>
          <a:r>
            <a:rPr kumimoji="0" lang="es-PE" sz="1100" b="1" i="0" u="none" strike="noStrike" kern="0" cap="none" spc="0" normalizeH="0" baseline="0" noProof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uLnTx/>
              <a:uFillTx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Alcance:  (cambiar) El alcance del proyecto se define por lo conversado con el cliente, los planos y todo lo que se tiene pensado implementar. </a:t>
          </a:r>
          <a:endParaRPr kumimoji="0" lang="es-PE" sz="1050" b="1" i="0" u="none" strike="noStrike" kern="0" cap="none" spc="0" normalizeH="0" baseline="0" noProof="0">
            <a:ln>
              <a:noFill/>
            </a:ln>
            <a:solidFill>
              <a:schemeClr val="accent1">
                <a:lumMod val="50000"/>
              </a:schemeClr>
            </a:solidFill>
            <a:effectLst/>
            <a:uLnTx/>
            <a:uFillTx/>
            <a:latin typeface="Aileron" panose="00000500000000000000" pitchFamily="50" charset="0"/>
            <a:ea typeface="Batang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130837</xdr:colOff>
      <xdr:row>8</xdr:row>
      <xdr:rowOff>19876</xdr:rowOff>
    </xdr:from>
    <xdr:to>
      <xdr:col>7</xdr:col>
      <xdr:colOff>1034143</xdr:colOff>
      <xdr:row>12</xdr:row>
      <xdr:rowOff>86137</xdr:rowOff>
    </xdr:to>
    <xdr:sp macro="" textlink="">
      <xdr:nvSpPr>
        <xdr:cNvPr id="4" name="Text Box 2">
          <a:extLst>
            <a:ext uri="{FF2B5EF4-FFF2-40B4-BE49-F238E27FC236}">
              <a16:creationId xmlns:a16="http://schemas.microsoft.com/office/drawing/2014/main" id="{F2A94B73-610E-4F32-A77E-6A32C2EA2AAD}"/>
            </a:ext>
          </a:extLst>
        </xdr:cNvPr>
        <xdr:cNvSpPr txBox="1">
          <a:spLocks noChangeArrowheads="1"/>
        </xdr:cNvSpPr>
      </xdr:nvSpPr>
      <xdr:spPr bwMode="auto">
        <a:xfrm>
          <a:off x="5396801" y="1802412"/>
          <a:ext cx="4386735" cy="828261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l">
            <a:lnSpc>
              <a:spcPts val="1200"/>
            </a:lnSpc>
            <a:spcAft>
              <a:spcPts val="0"/>
            </a:spcAft>
          </a:pPr>
          <a:r>
            <a:rPr lang="es-ES_tradnl" sz="1200" b="1">
              <a:solidFill>
                <a:sysClr val="windowText" lastClr="000000"/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Cliente</a:t>
          </a:r>
          <a:r>
            <a:rPr lang="es-PE" sz="1200" b="1">
              <a:solidFill>
                <a:sysClr val="windowText" lastClr="000000"/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:</a:t>
          </a:r>
        </a:p>
        <a:p>
          <a:pPr algn="l">
            <a:lnSpc>
              <a:spcPts val="1200"/>
            </a:lnSpc>
            <a:spcAft>
              <a:spcPts val="0"/>
            </a:spcAft>
          </a:pPr>
          <a:endParaRPr lang="es-PE" sz="1200" b="1">
            <a:solidFill>
              <a:srgbClr val="7F909D"/>
            </a:solidFill>
            <a:effectLst/>
            <a:latin typeface="Aileron" panose="00000500000000000000" pitchFamily="50" charset="0"/>
            <a:ea typeface="Batang"/>
            <a:cs typeface="Times New Roman" panose="02020603050405020304" pitchFamily="18" charset="0"/>
          </a:endParaRPr>
        </a:p>
        <a:p>
          <a:pPr algn="l">
            <a:lnSpc>
              <a:spcPts val="1200"/>
            </a:lnSpc>
            <a:spcAft>
              <a:spcPts val="0"/>
            </a:spcAft>
          </a:pPr>
          <a:r>
            <a:rPr lang="es-ES_tradnl" sz="1200" b="1">
              <a:solidFill>
                <a:sysClr val="windowText" lastClr="000000"/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Proyecto:  </a:t>
          </a:r>
        </a:p>
        <a:p>
          <a:pPr algn="l">
            <a:lnSpc>
              <a:spcPts val="1200"/>
            </a:lnSpc>
            <a:spcAft>
              <a:spcPts val="0"/>
            </a:spcAft>
          </a:pPr>
          <a:endParaRPr lang="es-ES_tradnl" sz="1200" b="1" baseline="0">
            <a:solidFill>
              <a:srgbClr val="808080"/>
            </a:solidFill>
            <a:effectLst/>
            <a:latin typeface="Aileron" panose="00000500000000000000" pitchFamily="50" charset="0"/>
            <a:ea typeface="Batang"/>
            <a:cs typeface="Times New Roman" panose="02020603050405020304" pitchFamily="18" charset="0"/>
          </a:endParaRPr>
        </a:p>
        <a:p>
          <a:pPr algn="l">
            <a:lnSpc>
              <a:spcPts val="1200"/>
            </a:lnSpc>
            <a:spcAft>
              <a:spcPts val="0"/>
            </a:spcAft>
          </a:pPr>
          <a:r>
            <a:rPr lang="es-ES_tradnl" sz="1200" b="1">
              <a:solidFill>
                <a:sysClr val="windowText" lastClr="000000"/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  <a:t>Ubicación:  </a:t>
          </a:r>
          <a:br>
            <a:rPr lang="es-ES_tradnl" sz="1200" b="1">
              <a:solidFill>
                <a:sysClr val="windowText" lastClr="000000"/>
              </a:solidFill>
              <a:effectLst/>
              <a:latin typeface="Aileron" panose="00000500000000000000" pitchFamily="50" charset="0"/>
              <a:ea typeface="Batang"/>
              <a:cs typeface="Times New Roman" panose="02020603050405020304" pitchFamily="18" charset="0"/>
            </a:rPr>
          </a:br>
          <a:endParaRPr lang="es-PE" sz="1200" b="1">
            <a:solidFill>
              <a:srgbClr val="7F909D"/>
            </a:solidFill>
            <a:effectLst/>
            <a:latin typeface="Aileron" panose="00000500000000000000" pitchFamily="50" charset="0"/>
            <a:ea typeface="Batang"/>
            <a:cs typeface="Times New Roman" panose="02020603050405020304" pitchFamily="18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NG1V08D\Rata%20Roja\Users\Omar%20Portal\Documents\Rata%20Roja\Synergia\EEFF_SYNERGIA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NG1V08D\Rata%20Roja\Users\Synergia%20SAC\Desktop\SYNERCLEAN\Productos\CONTROL%20VENTA%20GENERADORES%20DE%20OZONO-%20LIM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NTO DE EQUILIBRIO"/>
      <sheetName val="MOVIMIENTOS"/>
      <sheetName val="FLUJO DE CAJA"/>
      <sheetName val="MAQUINARIAS"/>
      <sheetName val="DIARIO"/>
      <sheetName val="MAQDELTA-21"/>
      <sheetName val="PLANILLA"/>
      <sheetName val="LOCADORES"/>
      <sheetName val="FLUJO MENSUAL"/>
      <sheetName val="COMPROBACION"/>
      <sheetName val="SEGUROS"/>
    </sheetNames>
    <sheetDataSet>
      <sheetData sheetId="0"/>
      <sheetData sheetId="1"/>
      <sheetData sheetId="2">
        <row r="4">
          <cell r="AE4" t="str">
            <v>Agosto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800"/>
      <sheetName val="801"/>
      <sheetName val="802"/>
      <sheetName val="803"/>
      <sheetName val="804"/>
      <sheetName val="805"/>
      <sheetName val="806"/>
      <sheetName val="807"/>
      <sheetName val="808"/>
      <sheetName val="809"/>
      <sheetName val="810"/>
      <sheetName val="811"/>
      <sheetName val="812"/>
      <sheetName val="813"/>
      <sheetName val="814"/>
      <sheetName val="815"/>
      <sheetName val="816"/>
      <sheetName val="CLIENTES"/>
      <sheetName val="Lista de precios"/>
      <sheetName val="7gh"/>
      <sheetName val="3gh"/>
      <sheetName val="Resumen"/>
      <sheetName val="63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">
          <cell r="F1" t="str">
            <v>PRODUCTO</v>
          </cell>
          <cell r="X1">
            <v>3.5</v>
          </cell>
        </row>
      </sheetData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2306C-4209-4412-9E80-73993AFC9F79}">
  <sheetPr codeName="Hoja127">
    <pageSetUpPr fitToPage="1"/>
  </sheetPr>
  <dimension ref="B2:Y117"/>
  <sheetViews>
    <sheetView tabSelected="1" topLeftCell="A15" zoomScale="70" zoomScaleNormal="70" workbookViewId="0">
      <selection activeCell="J57" sqref="J57"/>
    </sheetView>
  </sheetViews>
  <sheetFormatPr baseColWidth="10" defaultRowHeight="15" x14ac:dyDescent="0.25"/>
  <cols>
    <col min="2" max="2" width="16.140625" customWidth="1"/>
    <col min="3" max="3" width="51.42578125" customWidth="1"/>
    <col min="4" max="4" width="6.85546875" customWidth="1"/>
    <col min="5" max="5" width="7.85546875" bestFit="1" customWidth="1"/>
    <col min="6" max="6" width="24.42578125" customWidth="1"/>
    <col min="7" max="7" width="12.85546875" customWidth="1"/>
    <col min="8" max="8" width="16.5703125" customWidth="1"/>
    <col min="9" max="10" width="13.28515625" customWidth="1"/>
    <col min="11" max="11" width="13.140625" customWidth="1"/>
    <col min="12" max="12" width="12.5703125" customWidth="1"/>
    <col min="13" max="13" width="15.85546875" customWidth="1"/>
    <col min="14" max="14" width="11.85546875" bestFit="1" customWidth="1"/>
    <col min="17" max="17" width="22" bestFit="1" customWidth="1"/>
    <col min="18" max="18" width="11.85546875" bestFit="1" customWidth="1"/>
  </cols>
  <sheetData>
    <row r="2" spans="2:23" ht="15.75" thickBot="1" x14ac:dyDescent="0.3">
      <c r="B2" t="s">
        <v>0</v>
      </c>
    </row>
    <row r="3" spans="2:23" ht="15.75" thickBot="1" x14ac:dyDescent="0.3">
      <c r="B3" s="1"/>
      <c r="C3" s="2"/>
      <c r="D3" s="2"/>
      <c r="E3" s="2"/>
      <c r="F3" s="2"/>
      <c r="G3" s="2"/>
      <c r="H3" s="3"/>
    </row>
    <row r="4" spans="2:23" x14ac:dyDescent="0.25">
      <c r="B4" s="4"/>
      <c r="H4" s="5"/>
      <c r="L4" s="75" t="s">
        <v>18</v>
      </c>
      <c r="M4" s="77">
        <f>+R54</f>
        <v>242.04000000000002</v>
      </c>
      <c r="N4" s="78">
        <v>1</v>
      </c>
    </row>
    <row r="5" spans="2:23" ht="15.75" thickBot="1" x14ac:dyDescent="0.3">
      <c r="B5" s="4"/>
      <c r="H5" s="5"/>
      <c r="L5" s="76" t="s">
        <v>20</v>
      </c>
      <c r="M5" s="79">
        <f>+N54</f>
        <v>202</v>
      </c>
      <c r="N5" s="80">
        <f>+M5/M4</f>
        <v>0.83457279788464711</v>
      </c>
    </row>
    <row r="6" spans="2:23" ht="15.75" thickBot="1" x14ac:dyDescent="0.3">
      <c r="B6" s="4"/>
      <c r="H6" s="5"/>
      <c r="L6" s="81" t="s">
        <v>21</v>
      </c>
      <c r="M6" s="82">
        <f>+M4-M5</f>
        <v>40.04000000000002</v>
      </c>
      <c r="N6" s="83">
        <f>+M6/M4</f>
        <v>0.16542720211535292</v>
      </c>
    </row>
    <row r="7" spans="2:23" ht="31.5" x14ac:dyDescent="0.5">
      <c r="B7" s="216" t="s">
        <v>24</v>
      </c>
      <c r="C7" s="217"/>
      <c r="D7" s="217"/>
      <c r="E7" s="217"/>
      <c r="F7" s="217"/>
      <c r="G7" s="217"/>
      <c r="H7" s="218"/>
      <c r="N7" s="6"/>
    </row>
    <row r="8" spans="2:23" x14ac:dyDescent="0.25">
      <c r="B8" s="4"/>
      <c r="H8" s="5"/>
      <c r="N8" s="6"/>
    </row>
    <row r="9" spans="2:23" x14ac:dyDescent="0.25">
      <c r="B9" s="4"/>
      <c r="H9" s="5"/>
    </row>
    <row r="10" spans="2:23" x14ac:dyDescent="0.25">
      <c r="B10" s="4"/>
      <c r="H10" s="5"/>
      <c r="W10" s="29"/>
    </row>
    <row r="11" spans="2:23" x14ac:dyDescent="0.25">
      <c r="B11" s="4"/>
      <c r="H11" s="5"/>
      <c r="W11" s="29"/>
    </row>
    <row r="12" spans="2:23" x14ac:dyDescent="0.25">
      <c r="B12" s="4"/>
      <c r="H12" s="5"/>
      <c r="W12" s="29"/>
    </row>
    <row r="13" spans="2:23" ht="15.75" thickBot="1" x14ac:dyDescent="0.3">
      <c r="B13" s="4"/>
      <c r="H13" s="5"/>
      <c r="W13" s="29"/>
    </row>
    <row r="14" spans="2:23" ht="15" customHeight="1" x14ac:dyDescent="0.25">
      <c r="B14" s="118" t="s">
        <v>1</v>
      </c>
      <c r="C14" s="219" t="s">
        <v>2</v>
      </c>
      <c r="D14" s="221" t="s">
        <v>3</v>
      </c>
      <c r="E14" s="219" t="s">
        <v>4</v>
      </c>
      <c r="F14" s="223" t="s">
        <v>5</v>
      </c>
      <c r="G14" s="219" t="s">
        <v>6</v>
      </c>
      <c r="H14" s="221" t="s">
        <v>7</v>
      </c>
      <c r="I14" s="234" t="s">
        <v>8</v>
      </c>
      <c r="J14" s="241" t="s">
        <v>28</v>
      </c>
      <c r="K14" s="241" t="s">
        <v>27</v>
      </c>
      <c r="L14" s="239" t="s">
        <v>9</v>
      </c>
      <c r="M14" s="234" t="s">
        <v>10</v>
      </c>
      <c r="N14" s="234" t="s">
        <v>33</v>
      </c>
      <c r="O14" s="241" t="s">
        <v>12</v>
      </c>
      <c r="P14" s="241" t="s">
        <v>35</v>
      </c>
      <c r="Q14" s="234" t="s">
        <v>5</v>
      </c>
      <c r="R14" s="234" t="s">
        <v>11</v>
      </c>
      <c r="S14" s="234" t="s">
        <v>13</v>
      </c>
      <c r="W14" s="29"/>
    </row>
    <row r="15" spans="2:23" ht="26.25" customHeight="1" thickBot="1" x14ac:dyDescent="0.3">
      <c r="B15" s="119" t="s">
        <v>14</v>
      </c>
      <c r="C15" s="220"/>
      <c r="D15" s="222"/>
      <c r="E15" s="220"/>
      <c r="F15" s="224"/>
      <c r="G15" s="220"/>
      <c r="H15" s="222"/>
      <c r="I15" s="235"/>
      <c r="J15" s="242"/>
      <c r="K15" s="242"/>
      <c r="L15" s="240"/>
      <c r="M15" s="235"/>
      <c r="N15" s="235"/>
      <c r="O15" s="242"/>
      <c r="P15" s="243"/>
      <c r="Q15" s="235"/>
      <c r="R15" s="235"/>
      <c r="S15" s="236"/>
      <c r="W15" s="29"/>
    </row>
    <row r="16" spans="2:23" ht="16.5" thickBot="1" x14ac:dyDescent="0.3">
      <c r="B16" s="48"/>
      <c r="C16" s="34"/>
      <c r="D16" s="31"/>
      <c r="E16" s="31"/>
      <c r="F16" s="31"/>
      <c r="G16" s="31"/>
      <c r="H16" s="30"/>
      <c r="I16" s="1"/>
      <c r="J16" s="2"/>
      <c r="K16" s="2"/>
      <c r="L16" s="62"/>
      <c r="M16" s="2"/>
      <c r="N16" s="2"/>
      <c r="O16" s="2"/>
      <c r="P16" s="2"/>
      <c r="Q16" s="2"/>
      <c r="R16" s="2"/>
      <c r="S16" s="3"/>
      <c r="W16" s="29"/>
    </row>
    <row r="17" spans="2:25" ht="15.75" thickBot="1" x14ac:dyDescent="0.3">
      <c r="B17" s="120">
        <v>1</v>
      </c>
      <c r="C17" s="121"/>
      <c r="D17" s="122"/>
      <c r="E17" s="122"/>
      <c r="F17" s="122"/>
      <c r="G17" s="123"/>
      <c r="H17" s="132">
        <f>SUM(G18:G42)</f>
        <v>2.04</v>
      </c>
      <c r="I17" s="4"/>
      <c r="S17" s="5"/>
      <c r="W17" s="29"/>
    </row>
    <row r="18" spans="2:25" s="7" customFormat="1" x14ac:dyDescent="0.25">
      <c r="B18" s="49">
        <v>1.01</v>
      </c>
      <c r="C18" s="50"/>
      <c r="D18" s="51" t="s">
        <v>32</v>
      </c>
      <c r="E18" s="37">
        <v>1</v>
      </c>
      <c r="F18" s="38">
        <f t="shared" ref="F18" si="0">+Q18</f>
        <v>2.04</v>
      </c>
      <c r="G18" s="39">
        <f t="shared" ref="G18" si="1">+F18*E18</f>
        <v>2.04</v>
      </c>
      <c r="H18" s="133"/>
      <c r="I18" s="86" t="s">
        <v>26</v>
      </c>
      <c r="J18" s="143">
        <v>1</v>
      </c>
      <c r="K18" s="144">
        <v>1</v>
      </c>
      <c r="L18" s="90">
        <f>J18+K18</f>
        <v>2</v>
      </c>
      <c r="M18" s="64">
        <f>+E18</f>
        <v>1</v>
      </c>
      <c r="N18" s="161">
        <f>+M18*L18</f>
        <v>2</v>
      </c>
      <c r="O18" s="93">
        <v>0.01</v>
      </c>
      <c r="P18" s="183">
        <v>0.01</v>
      </c>
      <c r="Q18" s="174">
        <f>L18*(100%+O18+P18)</f>
        <v>2.04</v>
      </c>
      <c r="R18" s="174">
        <f t="shared" ref="R18:R28" si="2">+Q18*M18:M18</f>
        <v>2.04</v>
      </c>
      <c r="S18" s="165">
        <f t="shared" ref="S18:S28" si="3">+R18-N18</f>
        <v>4.0000000000000036E-2</v>
      </c>
      <c r="V18" s="8"/>
      <c r="W18" s="29"/>
      <c r="Y18"/>
    </row>
    <row r="19" spans="2:25" s="7" customFormat="1" x14ac:dyDescent="0.25">
      <c r="B19" s="52">
        <v>1.02</v>
      </c>
      <c r="C19" s="53"/>
      <c r="D19" s="54" t="s">
        <v>30</v>
      </c>
      <c r="E19" s="40">
        <v>0</v>
      </c>
      <c r="F19" s="41">
        <f t="shared" ref="F19" si="4">+Q19</f>
        <v>0</v>
      </c>
      <c r="G19" s="42">
        <f t="shared" ref="G19" si="5">+F19*E19</f>
        <v>0</v>
      </c>
      <c r="H19" s="134"/>
      <c r="I19" s="87"/>
      <c r="J19" s="145">
        <v>0</v>
      </c>
      <c r="K19" s="146">
        <v>0</v>
      </c>
      <c r="L19" s="91">
        <f>J19+K19</f>
        <v>0</v>
      </c>
      <c r="M19" s="66">
        <f>+E19</f>
        <v>0</v>
      </c>
      <c r="N19" s="162">
        <f t="shared" ref="N19" si="6">+M19*L19</f>
        <v>0</v>
      </c>
      <c r="O19" s="94">
        <v>0</v>
      </c>
      <c r="P19" s="184">
        <v>0</v>
      </c>
      <c r="Q19" s="175">
        <f t="shared" ref="Q19:Q53" si="7">L19*(100%+O19+P19)</f>
        <v>0</v>
      </c>
      <c r="R19" s="175">
        <f t="shared" ref="R19" si="8">+Q19*M19:M19</f>
        <v>0</v>
      </c>
      <c r="S19" s="166">
        <f t="shared" ref="S19" si="9">+R19-N19</f>
        <v>0</v>
      </c>
      <c r="V19" s="8"/>
      <c r="W19" s="29"/>
      <c r="Y19"/>
    </row>
    <row r="20" spans="2:25" s="7" customFormat="1" x14ac:dyDescent="0.25">
      <c r="B20" s="52">
        <v>1.03</v>
      </c>
      <c r="C20" s="55"/>
      <c r="D20" s="54" t="s">
        <v>29</v>
      </c>
      <c r="E20" s="40">
        <v>0</v>
      </c>
      <c r="F20" s="41">
        <f t="shared" ref="F20:F23" si="10">+Q20</f>
        <v>0</v>
      </c>
      <c r="G20" s="42">
        <f t="shared" ref="G20:G23" si="11">+F20*E20</f>
        <v>0</v>
      </c>
      <c r="H20" s="134"/>
      <c r="I20" s="87"/>
      <c r="J20" s="145">
        <v>0</v>
      </c>
      <c r="K20" s="146">
        <v>0</v>
      </c>
      <c r="L20" s="91">
        <f t="shared" ref="L20:L23" si="12">J20+K20</f>
        <v>0</v>
      </c>
      <c r="M20" s="66">
        <f t="shared" ref="M20:M23" si="13">+E20</f>
        <v>0</v>
      </c>
      <c r="N20" s="162">
        <f t="shared" ref="N20:N23" si="14">+M20*L20</f>
        <v>0</v>
      </c>
      <c r="O20" s="94">
        <v>0</v>
      </c>
      <c r="P20" s="184">
        <v>0</v>
      </c>
      <c r="Q20" s="175">
        <f t="shared" si="7"/>
        <v>0</v>
      </c>
      <c r="R20" s="175">
        <f t="shared" ref="R20:R23" si="15">+Q20*M20:M20</f>
        <v>0</v>
      </c>
      <c r="S20" s="166">
        <f t="shared" ref="S20:S23" si="16">+R20-N20</f>
        <v>0</v>
      </c>
      <c r="V20" s="8"/>
      <c r="W20" s="29"/>
      <c r="Y20"/>
    </row>
    <row r="21" spans="2:25" s="7" customFormat="1" x14ac:dyDescent="0.25">
      <c r="B21" s="52">
        <v>1.04</v>
      </c>
      <c r="C21" s="53"/>
      <c r="D21" s="54" t="s">
        <v>30</v>
      </c>
      <c r="E21" s="40">
        <v>0</v>
      </c>
      <c r="F21" s="41">
        <f t="shared" si="10"/>
        <v>0</v>
      </c>
      <c r="G21" s="42">
        <f t="shared" si="11"/>
        <v>0</v>
      </c>
      <c r="H21" s="134"/>
      <c r="I21" s="87"/>
      <c r="J21" s="145">
        <v>0</v>
      </c>
      <c r="K21" s="146">
        <v>0</v>
      </c>
      <c r="L21" s="91">
        <f t="shared" si="12"/>
        <v>0</v>
      </c>
      <c r="M21" s="66">
        <f t="shared" si="13"/>
        <v>0</v>
      </c>
      <c r="N21" s="162">
        <f t="shared" si="14"/>
        <v>0</v>
      </c>
      <c r="O21" s="94">
        <v>0</v>
      </c>
      <c r="P21" s="184">
        <v>0</v>
      </c>
      <c r="Q21" s="175">
        <f t="shared" si="7"/>
        <v>0</v>
      </c>
      <c r="R21" s="175">
        <f t="shared" si="15"/>
        <v>0</v>
      </c>
      <c r="S21" s="166">
        <f t="shared" si="16"/>
        <v>0</v>
      </c>
      <c r="V21" s="8"/>
      <c r="W21" s="29"/>
      <c r="Y21"/>
    </row>
    <row r="22" spans="2:25" s="7" customFormat="1" x14ac:dyDescent="0.25">
      <c r="B22" s="52">
        <v>1.05</v>
      </c>
      <c r="C22" s="53"/>
      <c r="D22" s="54" t="s">
        <v>30</v>
      </c>
      <c r="E22" s="40">
        <v>0</v>
      </c>
      <c r="F22" s="41">
        <f t="shared" si="10"/>
        <v>0</v>
      </c>
      <c r="G22" s="42">
        <f t="shared" si="11"/>
        <v>0</v>
      </c>
      <c r="H22" s="134"/>
      <c r="I22" s="87"/>
      <c r="J22" s="145">
        <v>0</v>
      </c>
      <c r="K22" s="146">
        <v>0</v>
      </c>
      <c r="L22" s="91">
        <f t="shared" si="12"/>
        <v>0</v>
      </c>
      <c r="M22" s="66">
        <f t="shared" si="13"/>
        <v>0</v>
      </c>
      <c r="N22" s="162">
        <f t="shared" si="14"/>
        <v>0</v>
      </c>
      <c r="O22" s="94">
        <v>0</v>
      </c>
      <c r="P22" s="184">
        <v>0</v>
      </c>
      <c r="Q22" s="175">
        <f t="shared" si="7"/>
        <v>0</v>
      </c>
      <c r="R22" s="175">
        <f t="shared" si="15"/>
        <v>0</v>
      </c>
      <c r="S22" s="166">
        <f t="shared" si="16"/>
        <v>0</v>
      </c>
      <c r="V22" s="8"/>
      <c r="W22" s="29"/>
      <c r="Y22"/>
    </row>
    <row r="23" spans="2:25" s="7" customFormat="1" ht="15.75" thickBot="1" x14ac:dyDescent="0.3">
      <c r="B23" s="56">
        <v>1.06</v>
      </c>
      <c r="C23" s="57"/>
      <c r="D23" s="54" t="s">
        <v>30</v>
      </c>
      <c r="E23" s="43">
        <v>0</v>
      </c>
      <c r="F23" s="41">
        <f t="shared" si="10"/>
        <v>0</v>
      </c>
      <c r="G23" s="42">
        <f t="shared" si="11"/>
        <v>0</v>
      </c>
      <c r="H23" s="134"/>
      <c r="I23" s="88"/>
      <c r="J23" s="147">
        <v>0</v>
      </c>
      <c r="K23" s="148">
        <v>0</v>
      </c>
      <c r="L23" s="92">
        <f t="shared" si="12"/>
        <v>0</v>
      </c>
      <c r="M23" s="67">
        <f t="shared" si="13"/>
        <v>0</v>
      </c>
      <c r="N23" s="163">
        <f t="shared" si="14"/>
        <v>0</v>
      </c>
      <c r="O23" s="95">
        <v>0</v>
      </c>
      <c r="P23" s="185">
        <v>0</v>
      </c>
      <c r="Q23" s="176">
        <f t="shared" si="7"/>
        <v>0</v>
      </c>
      <c r="R23" s="176">
        <f t="shared" si="15"/>
        <v>0</v>
      </c>
      <c r="S23" s="167">
        <f t="shared" si="16"/>
        <v>0</v>
      </c>
      <c r="V23" s="8"/>
      <c r="W23" s="29"/>
      <c r="Y23"/>
    </row>
    <row r="24" spans="2:25" s="7" customFormat="1" ht="15.75" thickBot="1" x14ac:dyDescent="0.3">
      <c r="B24" s="120">
        <v>2</v>
      </c>
      <c r="C24" s="121"/>
      <c r="D24" s="122"/>
      <c r="E24" s="122"/>
      <c r="F24" s="122"/>
      <c r="G24" s="123"/>
      <c r="H24" s="135">
        <f>SUM(G25:G57)</f>
        <v>240.00000000000003</v>
      </c>
      <c r="I24" s="84"/>
      <c r="J24" s="149"/>
      <c r="K24" s="149"/>
      <c r="L24" s="85"/>
      <c r="M24" s="85"/>
      <c r="N24" s="164"/>
      <c r="O24" s="85"/>
      <c r="P24" s="186"/>
      <c r="Q24" s="182"/>
      <c r="R24" s="187"/>
      <c r="S24" s="188"/>
      <c r="V24" s="8"/>
      <c r="W24" s="29"/>
    </row>
    <row r="25" spans="2:25" s="7" customFormat="1" x14ac:dyDescent="0.25">
      <c r="B25" s="49">
        <v>2.0099999999999998</v>
      </c>
      <c r="C25" s="50"/>
      <c r="D25" s="51" t="s">
        <v>23</v>
      </c>
      <c r="E25" s="37">
        <v>0</v>
      </c>
      <c r="F25" s="38">
        <f t="shared" ref="F25:F26" si="17">+Q25</f>
        <v>0</v>
      </c>
      <c r="G25" s="39">
        <f t="shared" ref="G25:G26" si="18">+F25*E25</f>
        <v>0</v>
      </c>
      <c r="H25" s="136"/>
      <c r="I25" s="86"/>
      <c r="J25" s="150">
        <v>0</v>
      </c>
      <c r="K25" s="144">
        <v>0</v>
      </c>
      <c r="L25" s="63">
        <f>J25+K25</f>
        <v>0</v>
      </c>
      <c r="M25" s="64">
        <f t="shared" ref="M25:M26" si="19">+E25</f>
        <v>0</v>
      </c>
      <c r="N25" s="165">
        <f t="shared" ref="N25:N26" si="20">+M25*L25</f>
        <v>0</v>
      </c>
      <c r="O25" s="93">
        <v>0</v>
      </c>
      <c r="P25" s="183">
        <v>0</v>
      </c>
      <c r="Q25" s="174">
        <f t="shared" si="7"/>
        <v>0</v>
      </c>
      <c r="R25" s="174">
        <f t="shared" ref="R25:R26" si="21">+Q25*M25:M25</f>
        <v>0</v>
      </c>
      <c r="S25" s="165">
        <f t="shared" ref="S25:S26" si="22">+R25-N25</f>
        <v>0</v>
      </c>
      <c r="W25" s="29"/>
    </row>
    <row r="26" spans="2:25" s="7" customFormat="1" x14ac:dyDescent="0.25">
      <c r="B26" s="52">
        <v>2.02</v>
      </c>
      <c r="C26" s="58"/>
      <c r="D26" s="59" t="s">
        <v>30</v>
      </c>
      <c r="E26" s="44">
        <v>0</v>
      </c>
      <c r="F26" s="45">
        <f t="shared" si="17"/>
        <v>0</v>
      </c>
      <c r="G26" s="96">
        <f t="shared" si="18"/>
        <v>0</v>
      </c>
      <c r="H26" s="137"/>
      <c r="I26" s="87"/>
      <c r="J26" s="151">
        <v>0</v>
      </c>
      <c r="K26" s="146">
        <v>0</v>
      </c>
      <c r="L26" s="65">
        <f>J26+K26</f>
        <v>0</v>
      </c>
      <c r="M26" s="66">
        <f t="shared" si="19"/>
        <v>0</v>
      </c>
      <c r="N26" s="166">
        <f t="shared" si="20"/>
        <v>0</v>
      </c>
      <c r="O26" s="94">
        <v>0</v>
      </c>
      <c r="P26" s="184">
        <v>0</v>
      </c>
      <c r="Q26" s="175">
        <f t="shared" si="7"/>
        <v>0</v>
      </c>
      <c r="R26" s="175">
        <f t="shared" si="21"/>
        <v>0</v>
      </c>
      <c r="S26" s="166">
        <f t="shared" si="22"/>
        <v>0</v>
      </c>
      <c r="W26" s="29"/>
    </row>
    <row r="27" spans="2:25" s="7" customFormat="1" x14ac:dyDescent="0.2">
      <c r="B27" s="52">
        <v>2.0299999999999998</v>
      </c>
      <c r="C27" s="58"/>
      <c r="D27" s="59" t="s">
        <v>30</v>
      </c>
      <c r="E27" s="44">
        <v>0</v>
      </c>
      <c r="F27" s="45">
        <f>+Q27</f>
        <v>0</v>
      </c>
      <c r="G27" s="96">
        <f t="shared" ref="G27:G36" si="23">+F27*E27</f>
        <v>0</v>
      </c>
      <c r="H27" s="137"/>
      <c r="I27" s="108"/>
      <c r="J27" s="152">
        <v>0</v>
      </c>
      <c r="K27" s="153">
        <v>0</v>
      </c>
      <c r="L27" s="65">
        <f t="shared" ref="L27:L42" si="24">J27+K27</f>
        <v>0</v>
      </c>
      <c r="M27" s="66">
        <f>+E27</f>
        <v>0</v>
      </c>
      <c r="N27" s="166">
        <f t="shared" ref="N27:N29" si="25">+M27*L27</f>
        <v>0</v>
      </c>
      <c r="O27" s="94">
        <v>0</v>
      </c>
      <c r="P27" s="184">
        <v>0</v>
      </c>
      <c r="Q27" s="175">
        <f t="shared" si="7"/>
        <v>0</v>
      </c>
      <c r="R27" s="175">
        <f t="shared" si="2"/>
        <v>0</v>
      </c>
      <c r="S27" s="166">
        <f t="shared" si="3"/>
        <v>0</v>
      </c>
    </row>
    <row r="28" spans="2:25" s="7" customFormat="1" x14ac:dyDescent="0.2">
      <c r="B28" s="52">
        <v>2.04</v>
      </c>
      <c r="C28" s="60"/>
      <c r="D28" s="59" t="s">
        <v>31</v>
      </c>
      <c r="E28" s="44">
        <v>0</v>
      </c>
      <c r="F28" s="45">
        <f t="shared" ref="F28:F32" si="26">+Q28</f>
        <v>0</v>
      </c>
      <c r="G28" s="96">
        <f t="shared" si="23"/>
        <v>0</v>
      </c>
      <c r="H28" s="137"/>
      <c r="I28" s="87"/>
      <c r="J28" s="151">
        <v>0</v>
      </c>
      <c r="K28" s="146">
        <v>0</v>
      </c>
      <c r="L28" s="65">
        <f t="shared" si="24"/>
        <v>0</v>
      </c>
      <c r="M28" s="66">
        <f>+E28</f>
        <v>0</v>
      </c>
      <c r="N28" s="166">
        <f t="shared" si="25"/>
        <v>0</v>
      </c>
      <c r="O28" s="94">
        <v>0</v>
      </c>
      <c r="P28" s="184">
        <v>0</v>
      </c>
      <c r="Q28" s="175">
        <f t="shared" si="7"/>
        <v>0</v>
      </c>
      <c r="R28" s="175">
        <f t="shared" si="2"/>
        <v>0</v>
      </c>
      <c r="S28" s="166">
        <f t="shared" si="3"/>
        <v>0</v>
      </c>
    </row>
    <row r="29" spans="2:25" s="7" customFormat="1" x14ac:dyDescent="0.2">
      <c r="B29" s="52">
        <v>2.0499999999999998</v>
      </c>
      <c r="C29" s="60"/>
      <c r="D29" s="59" t="s">
        <v>31</v>
      </c>
      <c r="E29" s="44">
        <v>0</v>
      </c>
      <c r="F29" s="45">
        <f t="shared" si="26"/>
        <v>0</v>
      </c>
      <c r="G29" s="96">
        <f t="shared" si="23"/>
        <v>0</v>
      </c>
      <c r="H29" s="137"/>
      <c r="I29" s="87"/>
      <c r="J29" s="151">
        <v>0</v>
      </c>
      <c r="K29" s="146">
        <v>0</v>
      </c>
      <c r="L29" s="65">
        <f t="shared" si="24"/>
        <v>0</v>
      </c>
      <c r="M29" s="66">
        <f>+E29</f>
        <v>0</v>
      </c>
      <c r="N29" s="166">
        <f t="shared" si="25"/>
        <v>0</v>
      </c>
      <c r="O29" s="94">
        <v>0</v>
      </c>
      <c r="P29" s="184">
        <v>0</v>
      </c>
      <c r="Q29" s="175">
        <f t="shared" si="7"/>
        <v>0</v>
      </c>
      <c r="R29" s="175">
        <f t="shared" ref="R29:R42" si="27">+Q29*M29:M29</f>
        <v>0</v>
      </c>
      <c r="S29" s="166">
        <f t="shared" ref="S29:S42" si="28">+R29-N29</f>
        <v>0</v>
      </c>
    </row>
    <row r="30" spans="2:25" s="7" customFormat="1" x14ac:dyDescent="0.2">
      <c r="B30" s="52">
        <v>2.06</v>
      </c>
      <c r="C30" s="60"/>
      <c r="D30" s="59" t="s">
        <v>29</v>
      </c>
      <c r="E30" s="44">
        <v>0</v>
      </c>
      <c r="F30" s="45">
        <f t="shared" si="26"/>
        <v>0</v>
      </c>
      <c r="G30" s="96">
        <f t="shared" si="23"/>
        <v>0</v>
      </c>
      <c r="H30" s="137"/>
      <c r="I30" s="87"/>
      <c r="J30" s="151">
        <v>0</v>
      </c>
      <c r="K30" s="146">
        <v>0</v>
      </c>
      <c r="L30" s="65">
        <f t="shared" si="24"/>
        <v>0</v>
      </c>
      <c r="M30" s="66">
        <f t="shared" ref="M30:M42" si="29">+E30</f>
        <v>0</v>
      </c>
      <c r="N30" s="166">
        <f t="shared" ref="N30:N42" si="30">+M30*L30</f>
        <v>0</v>
      </c>
      <c r="O30" s="94">
        <v>0</v>
      </c>
      <c r="P30" s="184">
        <v>0</v>
      </c>
      <c r="Q30" s="175">
        <f t="shared" si="7"/>
        <v>0</v>
      </c>
      <c r="R30" s="175">
        <f t="shared" si="27"/>
        <v>0</v>
      </c>
      <c r="S30" s="166">
        <f t="shared" si="28"/>
        <v>0</v>
      </c>
    </row>
    <row r="31" spans="2:25" s="7" customFormat="1" x14ac:dyDescent="0.2">
      <c r="B31" s="52">
        <v>2.0699999999999998</v>
      </c>
      <c r="C31" s="60"/>
      <c r="D31" s="59" t="s">
        <v>3</v>
      </c>
      <c r="E31" s="44">
        <v>0</v>
      </c>
      <c r="F31" s="45">
        <f t="shared" si="26"/>
        <v>0</v>
      </c>
      <c r="G31" s="96">
        <f t="shared" si="23"/>
        <v>0</v>
      </c>
      <c r="H31" s="137"/>
      <c r="I31" s="87"/>
      <c r="J31" s="151">
        <v>0</v>
      </c>
      <c r="K31" s="146">
        <v>0</v>
      </c>
      <c r="L31" s="65">
        <f t="shared" si="24"/>
        <v>0</v>
      </c>
      <c r="M31" s="66">
        <f t="shared" si="29"/>
        <v>0</v>
      </c>
      <c r="N31" s="166">
        <f t="shared" si="30"/>
        <v>0</v>
      </c>
      <c r="O31" s="94">
        <v>0</v>
      </c>
      <c r="P31" s="184">
        <v>0</v>
      </c>
      <c r="Q31" s="175">
        <f t="shared" si="7"/>
        <v>0</v>
      </c>
      <c r="R31" s="175">
        <f t="shared" si="27"/>
        <v>0</v>
      </c>
      <c r="S31" s="166">
        <f t="shared" si="28"/>
        <v>0</v>
      </c>
    </row>
    <row r="32" spans="2:25" s="7" customFormat="1" x14ac:dyDescent="0.2">
      <c r="B32" s="52">
        <v>2.08</v>
      </c>
      <c r="C32" s="60"/>
      <c r="D32" s="59" t="s">
        <v>3</v>
      </c>
      <c r="E32" s="44">
        <v>0</v>
      </c>
      <c r="F32" s="45">
        <f t="shared" si="26"/>
        <v>0</v>
      </c>
      <c r="G32" s="96">
        <f t="shared" si="23"/>
        <v>0</v>
      </c>
      <c r="H32" s="137"/>
      <c r="I32" s="87"/>
      <c r="J32" s="151">
        <v>0</v>
      </c>
      <c r="K32" s="146">
        <v>0</v>
      </c>
      <c r="L32" s="65">
        <f t="shared" si="24"/>
        <v>0</v>
      </c>
      <c r="M32" s="66">
        <f t="shared" si="29"/>
        <v>0</v>
      </c>
      <c r="N32" s="166">
        <f t="shared" si="30"/>
        <v>0</v>
      </c>
      <c r="O32" s="94">
        <v>0</v>
      </c>
      <c r="P32" s="184">
        <v>0</v>
      </c>
      <c r="Q32" s="175">
        <f t="shared" si="7"/>
        <v>0</v>
      </c>
      <c r="R32" s="175">
        <f t="shared" si="27"/>
        <v>0</v>
      </c>
      <c r="S32" s="166">
        <f t="shared" si="28"/>
        <v>0</v>
      </c>
    </row>
    <row r="33" spans="2:25" s="7" customFormat="1" x14ac:dyDescent="0.2">
      <c r="B33" s="52">
        <v>2.09</v>
      </c>
      <c r="C33" s="60"/>
      <c r="D33" s="59" t="s">
        <v>31</v>
      </c>
      <c r="E33" s="44">
        <v>0</v>
      </c>
      <c r="F33" s="45">
        <f t="shared" ref="F33:F42" si="31">+Q33</f>
        <v>0</v>
      </c>
      <c r="G33" s="96">
        <f t="shared" si="23"/>
        <v>0</v>
      </c>
      <c r="H33" s="137"/>
      <c r="I33" s="87"/>
      <c r="J33" s="151">
        <v>0</v>
      </c>
      <c r="K33" s="146">
        <v>0</v>
      </c>
      <c r="L33" s="65">
        <f t="shared" si="24"/>
        <v>0</v>
      </c>
      <c r="M33" s="66">
        <f t="shared" si="29"/>
        <v>0</v>
      </c>
      <c r="N33" s="166">
        <f t="shared" si="30"/>
        <v>0</v>
      </c>
      <c r="O33" s="94">
        <v>0</v>
      </c>
      <c r="P33" s="184">
        <v>0</v>
      </c>
      <c r="Q33" s="175">
        <f t="shared" si="7"/>
        <v>0</v>
      </c>
      <c r="R33" s="175">
        <f t="shared" si="27"/>
        <v>0</v>
      </c>
      <c r="S33" s="166">
        <f t="shared" si="28"/>
        <v>0</v>
      </c>
    </row>
    <row r="34" spans="2:25" s="7" customFormat="1" x14ac:dyDescent="0.25">
      <c r="B34" s="52">
        <v>2.1</v>
      </c>
      <c r="C34" s="61"/>
      <c r="D34" s="59" t="s">
        <v>31</v>
      </c>
      <c r="E34" s="44">
        <v>0</v>
      </c>
      <c r="F34" s="45">
        <f t="shared" si="31"/>
        <v>0</v>
      </c>
      <c r="G34" s="96">
        <f t="shared" si="23"/>
        <v>0</v>
      </c>
      <c r="H34" s="137"/>
      <c r="I34" s="87"/>
      <c r="J34" s="151">
        <v>0</v>
      </c>
      <c r="K34" s="146">
        <v>0</v>
      </c>
      <c r="L34" s="65">
        <f t="shared" si="24"/>
        <v>0</v>
      </c>
      <c r="M34" s="66">
        <f t="shared" si="29"/>
        <v>0</v>
      </c>
      <c r="N34" s="166">
        <f t="shared" si="30"/>
        <v>0</v>
      </c>
      <c r="O34" s="94">
        <v>0</v>
      </c>
      <c r="P34" s="184">
        <v>0</v>
      </c>
      <c r="Q34" s="175">
        <f t="shared" si="7"/>
        <v>0</v>
      </c>
      <c r="R34" s="175">
        <f t="shared" si="27"/>
        <v>0</v>
      </c>
      <c r="S34" s="166">
        <f t="shared" si="28"/>
        <v>0</v>
      </c>
    </row>
    <row r="35" spans="2:25" s="7" customFormat="1" x14ac:dyDescent="0.25">
      <c r="B35" s="52">
        <v>2.11</v>
      </c>
      <c r="C35" s="61"/>
      <c r="D35" s="59" t="s">
        <v>29</v>
      </c>
      <c r="E35" s="44">
        <v>0</v>
      </c>
      <c r="F35" s="45">
        <f t="shared" si="31"/>
        <v>0</v>
      </c>
      <c r="G35" s="96">
        <f t="shared" si="23"/>
        <v>0</v>
      </c>
      <c r="H35" s="137"/>
      <c r="I35" s="87"/>
      <c r="J35" s="151">
        <v>0</v>
      </c>
      <c r="K35" s="146">
        <v>0</v>
      </c>
      <c r="L35" s="65">
        <f t="shared" si="24"/>
        <v>0</v>
      </c>
      <c r="M35" s="66">
        <f t="shared" si="29"/>
        <v>0</v>
      </c>
      <c r="N35" s="166">
        <f t="shared" si="30"/>
        <v>0</v>
      </c>
      <c r="O35" s="94">
        <v>0</v>
      </c>
      <c r="P35" s="184">
        <v>0</v>
      </c>
      <c r="Q35" s="175">
        <f t="shared" si="7"/>
        <v>0</v>
      </c>
      <c r="R35" s="175">
        <f t="shared" si="27"/>
        <v>0</v>
      </c>
      <c r="S35" s="166">
        <f t="shared" si="28"/>
        <v>0</v>
      </c>
    </row>
    <row r="36" spans="2:25" ht="15.75" customHeight="1" x14ac:dyDescent="0.25">
      <c r="B36" s="52">
        <v>2.12</v>
      </c>
      <c r="C36" s="61"/>
      <c r="D36" s="59" t="s">
        <v>29</v>
      </c>
      <c r="E36" s="44">
        <v>0</v>
      </c>
      <c r="F36" s="45">
        <f t="shared" si="31"/>
        <v>0</v>
      </c>
      <c r="G36" s="96">
        <f t="shared" si="23"/>
        <v>0</v>
      </c>
      <c r="H36" s="137"/>
      <c r="I36" s="87"/>
      <c r="J36" s="151">
        <v>0</v>
      </c>
      <c r="K36" s="146">
        <v>0</v>
      </c>
      <c r="L36" s="65">
        <f t="shared" si="24"/>
        <v>0</v>
      </c>
      <c r="M36" s="66">
        <f t="shared" si="29"/>
        <v>0</v>
      </c>
      <c r="N36" s="166">
        <f t="shared" si="30"/>
        <v>0</v>
      </c>
      <c r="O36" s="94">
        <v>0</v>
      </c>
      <c r="P36" s="184">
        <v>0</v>
      </c>
      <c r="Q36" s="175">
        <f t="shared" si="7"/>
        <v>0</v>
      </c>
      <c r="R36" s="175">
        <f t="shared" si="27"/>
        <v>0</v>
      </c>
      <c r="S36" s="166">
        <f t="shared" si="28"/>
        <v>0</v>
      </c>
      <c r="T36" s="9"/>
    </row>
    <row r="37" spans="2:25" s="7" customFormat="1" x14ac:dyDescent="0.2">
      <c r="B37" s="52">
        <v>2.13</v>
      </c>
      <c r="C37" s="60"/>
      <c r="D37" s="59" t="s">
        <v>29</v>
      </c>
      <c r="E37" s="44">
        <v>0</v>
      </c>
      <c r="F37" s="45">
        <f t="shared" si="31"/>
        <v>0</v>
      </c>
      <c r="G37" s="96">
        <f t="shared" ref="G37:G42" si="32">+F37*E37</f>
        <v>0</v>
      </c>
      <c r="H37" s="137"/>
      <c r="I37" s="87"/>
      <c r="J37" s="151">
        <v>0</v>
      </c>
      <c r="K37" s="146">
        <v>0</v>
      </c>
      <c r="L37" s="65">
        <f t="shared" si="24"/>
        <v>0</v>
      </c>
      <c r="M37" s="66">
        <f t="shared" si="29"/>
        <v>0</v>
      </c>
      <c r="N37" s="166">
        <f t="shared" si="30"/>
        <v>0</v>
      </c>
      <c r="O37" s="94">
        <v>0</v>
      </c>
      <c r="P37" s="184">
        <v>0</v>
      </c>
      <c r="Q37" s="175">
        <f t="shared" si="7"/>
        <v>0</v>
      </c>
      <c r="R37" s="175">
        <f t="shared" si="27"/>
        <v>0</v>
      </c>
      <c r="S37" s="166">
        <f t="shared" si="28"/>
        <v>0</v>
      </c>
    </row>
    <row r="38" spans="2:25" s="7" customFormat="1" x14ac:dyDescent="0.25">
      <c r="B38" s="52">
        <v>2.14</v>
      </c>
      <c r="C38" s="61"/>
      <c r="D38" s="59" t="s">
        <v>32</v>
      </c>
      <c r="E38" s="44">
        <v>0</v>
      </c>
      <c r="F38" s="45">
        <f t="shared" si="31"/>
        <v>0</v>
      </c>
      <c r="G38" s="96">
        <f t="shared" si="32"/>
        <v>0</v>
      </c>
      <c r="H38" s="137"/>
      <c r="I38" s="87"/>
      <c r="J38" s="151">
        <v>0</v>
      </c>
      <c r="K38" s="146">
        <v>0</v>
      </c>
      <c r="L38" s="65">
        <f t="shared" si="24"/>
        <v>0</v>
      </c>
      <c r="M38" s="66">
        <f t="shared" si="29"/>
        <v>0</v>
      </c>
      <c r="N38" s="166">
        <f t="shared" si="30"/>
        <v>0</v>
      </c>
      <c r="O38" s="94">
        <v>0</v>
      </c>
      <c r="P38" s="184">
        <v>0</v>
      </c>
      <c r="Q38" s="175">
        <f t="shared" si="7"/>
        <v>0</v>
      </c>
      <c r="R38" s="175">
        <f t="shared" si="27"/>
        <v>0</v>
      </c>
      <c r="S38" s="166">
        <f t="shared" si="28"/>
        <v>0</v>
      </c>
    </row>
    <row r="39" spans="2:25" s="7" customFormat="1" x14ac:dyDescent="0.25">
      <c r="B39" s="52">
        <v>2.15</v>
      </c>
      <c r="C39" s="61"/>
      <c r="D39" s="59" t="s">
        <v>29</v>
      </c>
      <c r="E39" s="44">
        <v>0</v>
      </c>
      <c r="F39" s="45">
        <f t="shared" si="31"/>
        <v>0</v>
      </c>
      <c r="G39" s="96">
        <f t="shared" si="32"/>
        <v>0</v>
      </c>
      <c r="H39" s="137"/>
      <c r="I39" s="87"/>
      <c r="J39" s="151">
        <v>0</v>
      </c>
      <c r="K39" s="146">
        <v>0</v>
      </c>
      <c r="L39" s="65">
        <f t="shared" si="24"/>
        <v>0</v>
      </c>
      <c r="M39" s="66">
        <f t="shared" si="29"/>
        <v>0</v>
      </c>
      <c r="N39" s="166">
        <f t="shared" si="30"/>
        <v>0</v>
      </c>
      <c r="O39" s="94">
        <v>0</v>
      </c>
      <c r="P39" s="184">
        <v>0</v>
      </c>
      <c r="Q39" s="175">
        <f t="shared" si="7"/>
        <v>0</v>
      </c>
      <c r="R39" s="175">
        <f t="shared" si="27"/>
        <v>0</v>
      </c>
      <c r="S39" s="166">
        <f t="shared" si="28"/>
        <v>0</v>
      </c>
    </row>
    <row r="40" spans="2:25" ht="15.75" customHeight="1" x14ac:dyDescent="0.25">
      <c r="B40" s="52">
        <v>2.16</v>
      </c>
      <c r="C40" s="61"/>
      <c r="D40" s="59" t="s">
        <v>29</v>
      </c>
      <c r="E40" s="44">
        <v>0</v>
      </c>
      <c r="F40" s="45">
        <f t="shared" si="31"/>
        <v>0</v>
      </c>
      <c r="G40" s="96">
        <f t="shared" ref="G40" si="33">+F40*E40</f>
        <v>0</v>
      </c>
      <c r="H40" s="137"/>
      <c r="I40" s="87"/>
      <c r="J40" s="151">
        <v>0</v>
      </c>
      <c r="K40" s="146">
        <v>0</v>
      </c>
      <c r="L40" s="65">
        <f t="shared" si="24"/>
        <v>0</v>
      </c>
      <c r="M40" s="66">
        <f t="shared" si="29"/>
        <v>0</v>
      </c>
      <c r="N40" s="166">
        <f t="shared" si="30"/>
        <v>0</v>
      </c>
      <c r="O40" s="94">
        <v>0</v>
      </c>
      <c r="P40" s="184">
        <v>0</v>
      </c>
      <c r="Q40" s="175">
        <f t="shared" si="7"/>
        <v>0</v>
      </c>
      <c r="R40" s="175">
        <f t="shared" si="27"/>
        <v>0</v>
      </c>
      <c r="S40" s="166">
        <f t="shared" si="28"/>
        <v>0</v>
      </c>
      <c r="T40" s="9"/>
    </row>
    <row r="41" spans="2:25" ht="15.75" customHeight="1" x14ac:dyDescent="0.25">
      <c r="B41" s="52">
        <v>2.17</v>
      </c>
      <c r="C41" s="61"/>
      <c r="D41" s="59" t="s">
        <v>31</v>
      </c>
      <c r="E41" s="44">
        <v>0</v>
      </c>
      <c r="F41" s="45">
        <f t="shared" si="31"/>
        <v>0</v>
      </c>
      <c r="G41" s="96">
        <f t="shared" si="32"/>
        <v>0</v>
      </c>
      <c r="H41" s="137"/>
      <c r="I41" s="87"/>
      <c r="J41" s="151">
        <v>0</v>
      </c>
      <c r="K41" s="146">
        <v>0</v>
      </c>
      <c r="L41" s="65">
        <f t="shared" si="24"/>
        <v>0</v>
      </c>
      <c r="M41" s="66">
        <f t="shared" si="29"/>
        <v>0</v>
      </c>
      <c r="N41" s="166">
        <f t="shared" si="30"/>
        <v>0</v>
      </c>
      <c r="O41" s="94">
        <v>0</v>
      </c>
      <c r="P41" s="184">
        <v>0</v>
      </c>
      <c r="Q41" s="175">
        <f t="shared" si="7"/>
        <v>0</v>
      </c>
      <c r="R41" s="175">
        <f t="shared" si="27"/>
        <v>0</v>
      </c>
      <c r="S41" s="166">
        <f t="shared" si="28"/>
        <v>0</v>
      </c>
      <c r="T41" s="9"/>
    </row>
    <row r="42" spans="2:25" ht="15.75" thickBot="1" x14ac:dyDescent="0.3">
      <c r="B42" s="52">
        <v>2.1800000000000002</v>
      </c>
      <c r="C42" s="61"/>
      <c r="D42" s="59" t="s">
        <v>32</v>
      </c>
      <c r="E42" s="46">
        <v>0</v>
      </c>
      <c r="F42" s="47">
        <f t="shared" si="31"/>
        <v>0</v>
      </c>
      <c r="G42" s="97">
        <f t="shared" si="32"/>
        <v>0</v>
      </c>
      <c r="H42" s="138"/>
      <c r="I42" s="88"/>
      <c r="J42" s="154">
        <v>0</v>
      </c>
      <c r="K42" s="148">
        <v>0</v>
      </c>
      <c r="L42" s="89">
        <f t="shared" si="24"/>
        <v>0</v>
      </c>
      <c r="M42" s="67">
        <f t="shared" si="29"/>
        <v>0</v>
      </c>
      <c r="N42" s="167">
        <f t="shared" si="30"/>
        <v>0</v>
      </c>
      <c r="O42" s="95">
        <v>0</v>
      </c>
      <c r="P42" s="185">
        <v>0</v>
      </c>
      <c r="Q42" s="176">
        <f t="shared" si="7"/>
        <v>0</v>
      </c>
      <c r="R42" s="176">
        <f t="shared" si="27"/>
        <v>0</v>
      </c>
      <c r="S42" s="167">
        <f t="shared" si="28"/>
        <v>0</v>
      </c>
    </row>
    <row r="43" spans="2:25" ht="15.75" thickBot="1" x14ac:dyDescent="0.3">
      <c r="B43" s="120">
        <v>3</v>
      </c>
      <c r="C43" s="121"/>
      <c r="D43" s="122"/>
      <c r="E43" s="122"/>
      <c r="F43" s="122"/>
      <c r="G43" s="123"/>
      <c r="H43" s="132">
        <f>SUM(G44:G72)</f>
        <v>240.00000000000003</v>
      </c>
      <c r="I43" s="4"/>
      <c r="J43" s="155"/>
      <c r="K43" s="156"/>
      <c r="N43" s="168"/>
      <c r="Q43" s="182"/>
      <c r="R43" s="168"/>
      <c r="S43" s="177"/>
      <c r="W43" s="29"/>
    </row>
    <row r="44" spans="2:25" s="7" customFormat="1" x14ac:dyDescent="0.25">
      <c r="B44" s="49">
        <v>3.01</v>
      </c>
      <c r="C44" s="50"/>
      <c r="D44" s="51" t="s">
        <v>29</v>
      </c>
      <c r="E44" s="37">
        <v>0</v>
      </c>
      <c r="F44" s="38">
        <f t="shared" ref="F44:F48" si="34">+Q44</f>
        <v>0</v>
      </c>
      <c r="G44" s="39">
        <f t="shared" ref="G44:G48" si="35">+F44*E44</f>
        <v>0</v>
      </c>
      <c r="H44" s="133"/>
      <c r="I44" s="86"/>
      <c r="J44" s="143">
        <v>0</v>
      </c>
      <c r="K44" s="144">
        <v>0</v>
      </c>
      <c r="L44" s="63">
        <f>J44+K44</f>
        <v>0</v>
      </c>
      <c r="M44" s="64">
        <f>+E44</f>
        <v>0</v>
      </c>
      <c r="N44" s="161">
        <f t="shared" ref="N44:N48" si="36">+M44*L44</f>
        <v>0</v>
      </c>
      <c r="O44" s="93">
        <v>0</v>
      </c>
      <c r="P44" s="183">
        <v>0</v>
      </c>
      <c r="Q44" s="174">
        <f t="shared" si="7"/>
        <v>0</v>
      </c>
      <c r="R44" s="174">
        <f t="shared" ref="R44:R48" si="37">+Q44*M44:M44</f>
        <v>0</v>
      </c>
      <c r="S44" s="165">
        <f t="shared" ref="S44:S48" si="38">+R44-N44</f>
        <v>0</v>
      </c>
      <c r="V44" s="8"/>
      <c r="W44" s="29"/>
      <c r="Y44"/>
    </row>
    <row r="45" spans="2:25" s="7" customFormat="1" x14ac:dyDescent="0.25">
      <c r="B45" s="52">
        <v>3.02</v>
      </c>
      <c r="C45" s="53"/>
      <c r="D45" s="54" t="s">
        <v>3</v>
      </c>
      <c r="E45" s="40">
        <v>0</v>
      </c>
      <c r="F45" s="41">
        <f t="shared" si="34"/>
        <v>0</v>
      </c>
      <c r="G45" s="42">
        <f t="shared" si="35"/>
        <v>0</v>
      </c>
      <c r="H45" s="134"/>
      <c r="I45" s="87"/>
      <c r="J45" s="145">
        <v>0</v>
      </c>
      <c r="K45" s="146">
        <v>0</v>
      </c>
      <c r="L45" s="65">
        <f>J45+K45</f>
        <v>0</v>
      </c>
      <c r="M45" s="66">
        <f>+E45</f>
        <v>0</v>
      </c>
      <c r="N45" s="162">
        <f t="shared" si="36"/>
        <v>0</v>
      </c>
      <c r="O45" s="94">
        <v>0</v>
      </c>
      <c r="P45" s="184">
        <v>0</v>
      </c>
      <c r="Q45" s="175">
        <f t="shared" si="7"/>
        <v>0</v>
      </c>
      <c r="R45" s="175">
        <f t="shared" si="37"/>
        <v>0</v>
      </c>
      <c r="S45" s="166">
        <f t="shared" si="38"/>
        <v>0</v>
      </c>
      <c r="V45" s="8"/>
      <c r="W45" s="29"/>
      <c r="Y45"/>
    </row>
    <row r="46" spans="2:25" s="7" customFormat="1" x14ac:dyDescent="0.25">
      <c r="B46" s="52">
        <v>3.03</v>
      </c>
      <c r="C46" s="55"/>
      <c r="D46" s="54" t="s">
        <v>29</v>
      </c>
      <c r="E46" s="40">
        <v>0</v>
      </c>
      <c r="F46" s="41">
        <f t="shared" si="34"/>
        <v>0</v>
      </c>
      <c r="G46" s="42">
        <f t="shared" si="35"/>
        <v>0</v>
      </c>
      <c r="H46" s="134"/>
      <c r="I46" s="87"/>
      <c r="J46" s="145">
        <v>0</v>
      </c>
      <c r="K46" s="146">
        <v>0</v>
      </c>
      <c r="L46" s="65">
        <f t="shared" ref="L46:L48" si="39">J46+K46</f>
        <v>0</v>
      </c>
      <c r="M46" s="66">
        <f t="shared" ref="M46:M48" si="40">+E46</f>
        <v>0</v>
      </c>
      <c r="N46" s="162">
        <f t="shared" si="36"/>
        <v>0</v>
      </c>
      <c r="O46" s="94">
        <v>0</v>
      </c>
      <c r="P46" s="184">
        <v>0</v>
      </c>
      <c r="Q46" s="175">
        <f t="shared" si="7"/>
        <v>0</v>
      </c>
      <c r="R46" s="175">
        <f t="shared" si="37"/>
        <v>0</v>
      </c>
      <c r="S46" s="166">
        <f t="shared" si="38"/>
        <v>0</v>
      </c>
      <c r="V46" s="8"/>
      <c r="W46" s="29"/>
      <c r="Y46"/>
    </row>
    <row r="47" spans="2:25" s="7" customFormat="1" x14ac:dyDescent="0.25">
      <c r="B47" s="52">
        <v>3.04</v>
      </c>
      <c r="C47" s="55"/>
      <c r="D47" s="54" t="s">
        <v>3</v>
      </c>
      <c r="E47" s="40">
        <v>0</v>
      </c>
      <c r="F47" s="41">
        <f t="shared" si="34"/>
        <v>0</v>
      </c>
      <c r="G47" s="42">
        <f t="shared" si="35"/>
        <v>0</v>
      </c>
      <c r="H47" s="134"/>
      <c r="I47" s="87"/>
      <c r="J47" s="145">
        <v>0</v>
      </c>
      <c r="K47" s="146">
        <v>0</v>
      </c>
      <c r="L47" s="65">
        <f t="shared" ref="L47" si="41">J47+K47</f>
        <v>0</v>
      </c>
      <c r="M47" s="66">
        <f t="shared" ref="M47" si="42">+E47</f>
        <v>0</v>
      </c>
      <c r="N47" s="162">
        <f t="shared" ref="N47" si="43">+M47*L47</f>
        <v>0</v>
      </c>
      <c r="O47" s="94">
        <v>0</v>
      </c>
      <c r="P47" s="184">
        <v>0</v>
      </c>
      <c r="Q47" s="175">
        <f t="shared" si="7"/>
        <v>0</v>
      </c>
      <c r="R47" s="175">
        <f t="shared" ref="R47" si="44">+Q47*M47:M47</f>
        <v>0</v>
      </c>
      <c r="S47" s="166">
        <f t="shared" ref="S47" si="45">+R47-N47</f>
        <v>0</v>
      </c>
      <c r="V47" s="8"/>
      <c r="W47" s="29"/>
      <c r="Y47"/>
    </row>
    <row r="48" spans="2:25" s="7" customFormat="1" ht="15.75" thickBot="1" x14ac:dyDescent="0.3">
      <c r="B48" s="52">
        <v>3.05</v>
      </c>
      <c r="C48" s="53"/>
      <c r="D48" s="54" t="s">
        <v>30</v>
      </c>
      <c r="E48" s="40">
        <v>0</v>
      </c>
      <c r="F48" s="41">
        <f t="shared" si="34"/>
        <v>0</v>
      </c>
      <c r="G48" s="42">
        <f t="shared" si="35"/>
        <v>0</v>
      </c>
      <c r="H48" s="134"/>
      <c r="I48" s="105"/>
      <c r="J48" s="157">
        <v>0</v>
      </c>
      <c r="K48" s="158">
        <v>0</v>
      </c>
      <c r="L48" s="109">
        <f t="shared" si="39"/>
        <v>0</v>
      </c>
      <c r="M48" s="104">
        <f t="shared" si="40"/>
        <v>0</v>
      </c>
      <c r="N48" s="169">
        <f t="shared" si="36"/>
        <v>0</v>
      </c>
      <c r="O48" s="106">
        <v>0</v>
      </c>
      <c r="P48" s="185">
        <v>0</v>
      </c>
      <c r="Q48" s="176">
        <f t="shared" si="7"/>
        <v>0</v>
      </c>
      <c r="R48" s="176">
        <f t="shared" si="37"/>
        <v>0</v>
      </c>
      <c r="S48" s="167">
        <f t="shared" si="38"/>
        <v>0</v>
      </c>
      <c r="V48" s="8"/>
      <c r="W48" s="29"/>
      <c r="Y48"/>
    </row>
    <row r="49" spans="2:25" ht="15.75" thickBot="1" x14ac:dyDescent="0.3">
      <c r="B49" s="120">
        <v>1</v>
      </c>
      <c r="C49" s="121"/>
      <c r="D49" s="122"/>
      <c r="E49" s="122"/>
      <c r="F49" s="122"/>
      <c r="G49" s="123"/>
      <c r="H49" s="132">
        <f>SUM(G50:G77)</f>
        <v>240.00000000000003</v>
      </c>
      <c r="I49" s="35"/>
      <c r="J49" s="159"/>
      <c r="K49" s="160"/>
      <c r="L49" s="36"/>
      <c r="M49" s="36"/>
      <c r="N49" s="170"/>
      <c r="O49" s="36"/>
      <c r="Q49" s="182"/>
      <c r="R49" s="168"/>
      <c r="S49" s="177"/>
      <c r="W49" s="29"/>
    </row>
    <row r="50" spans="2:25" s="7" customFormat="1" x14ac:dyDescent="0.25">
      <c r="B50" s="49">
        <v>1.01</v>
      </c>
      <c r="C50" s="50"/>
      <c r="D50" s="51" t="s">
        <v>31</v>
      </c>
      <c r="E50" s="37">
        <v>0</v>
      </c>
      <c r="F50" s="38">
        <f t="shared" ref="F50:F52" si="46">+Q50</f>
        <v>0</v>
      </c>
      <c r="G50" s="39">
        <f t="shared" ref="G50:G52" si="47">+F50*E50</f>
        <v>0</v>
      </c>
      <c r="H50" s="133"/>
      <c r="I50" s="86"/>
      <c r="J50" s="143">
        <v>0</v>
      </c>
      <c r="K50" s="144">
        <v>0</v>
      </c>
      <c r="L50" s="63">
        <f>J50+K50</f>
        <v>0</v>
      </c>
      <c r="M50" s="64">
        <f>+E50</f>
        <v>0</v>
      </c>
      <c r="N50" s="161">
        <f t="shared" ref="N50:N53" si="48">+M50*L50</f>
        <v>0</v>
      </c>
      <c r="O50" s="93">
        <v>0</v>
      </c>
      <c r="P50" s="183">
        <v>0</v>
      </c>
      <c r="Q50" s="174">
        <f t="shared" si="7"/>
        <v>0</v>
      </c>
      <c r="R50" s="174">
        <f t="shared" ref="R50:R53" si="49">+Q50*M50:M50</f>
        <v>0</v>
      </c>
      <c r="S50" s="165">
        <f t="shared" ref="S50:S53" si="50">+R50-N50</f>
        <v>0</v>
      </c>
      <c r="V50" s="8"/>
      <c r="W50" s="29"/>
      <c r="Y50"/>
    </row>
    <row r="51" spans="2:25" s="7" customFormat="1" x14ac:dyDescent="0.25">
      <c r="B51" s="52">
        <v>1.02</v>
      </c>
      <c r="C51" s="53"/>
      <c r="D51" s="54" t="s">
        <v>31</v>
      </c>
      <c r="E51" s="40">
        <v>0</v>
      </c>
      <c r="F51" s="41">
        <f t="shared" si="46"/>
        <v>0</v>
      </c>
      <c r="G51" s="42">
        <f t="shared" si="47"/>
        <v>0</v>
      </c>
      <c r="H51" s="134"/>
      <c r="I51" s="87"/>
      <c r="J51" s="145">
        <v>0</v>
      </c>
      <c r="K51" s="146">
        <v>0</v>
      </c>
      <c r="L51" s="65">
        <f>J51+K51</f>
        <v>0</v>
      </c>
      <c r="M51" s="66">
        <f>+E51</f>
        <v>0</v>
      </c>
      <c r="N51" s="162">
        <f t="shared" si="48"/>
        <v>0</v>
      </c>
      <c r="O51" s="94">
        <v>0</v>
      </c>
      <c r="P51" s="184">
        <v>0</v>
      </c>
      <c r="Q51" s="175">
        <f t="shared" si="7"/>
        <v>0</v>
      </c>
      <c r="R51" s="175">
        <f t="shared" si="49"/>
        <v>0</v>
      </c>
      <c r="S51" s="166">
        <f t="shared" si="50"/>
        <v>0</v>
      </c>
      <c r="V51" s="8"/>
      <c r="W51" s="29"/>
      <c r="Y51"/>
    </row>
    <row r="52" spans="2:25" s="7" customFormat="1" x14ac:dyDescent="0.25">
      <c r="B52" s="52">
        <v>1.03</v>
      </c>
      <c r="C52" s="55"/>
      <c r="D52" s="54" t="s">
        <v>3</v>
      </c>
      <c r="E52" s="40">
        <v>0</v>
      </c>
      <c r="F52" s="41">
        <f t="shared" si="46"/>
        <v>0</v>
      </c>
      <c r="G52" s="42">
        <f t="shared" si="47"/>
        <v>0</v>
      </c>
      <c r="H52" s="134"/>
      <c r="I52" s="87"/>
      <c r="J52" s="145">
        <v>0</v>
      </c>
      <c r="K52" s="146">
        <v>0</v>
      </c>
      <c r="L52" s="65">
        <f t="shared" ref="L52:L53" si="51">J52+K52</f>
        <v>0</v>
      </c>
      <c r="M52" s="66">
        <f t="shared" ref="M52:M53" si="52">+E52</f>
        <v>0</v>
      </c>
      <c r="N52" s="162">
        <f t="shared" si="48"/>
        <v>0</v>
      </c>
      <c r="O52" s="94">
        <v>0</v>
      </c>
      <c r="P52" s="184">
        <v>0</v>
      </c>
      <c r="Q52" s="175">
        <f t="shared" si="7"/>
        <v>0</v>
      </c>
      <c r="R52" s="175">
        <f t="shared" si="49"/>
        <v>0</v>
      </c>
      <c r="S52" s="166">
        <f t="shared" si="50"/>
        <v>0</v>
      </c>
      <c r="V52" s="8"/>
      <c r="W52" s="29"/>
      <c r="Y52"/>
    </row>
    <row r="53" spans="2:25" s="7" customFormat="1" ht="15.75" thickBot="1" x14ac:dyDescent="0.3">
      <c r="B53" s="52">
        <v>1.04</v>
      </c>
      <c r="C53" s="53"/>
      <c r="D53" s="54" t="s">
        <v>31</v>
      </c>
      <c r="E53" s="40">
        <v>10</v>
      </c>
      <c r="F53" s="41">
        <f t="shared" ref="F53" si="53">+Q53</f>
        <v>24.000000000000004</v>
      </c>
      <c r="G53" s="42">
        <f t="shared" ref="G53" si="54">+F53*E53</f>
        <v>240.00000000000003</v>
      </c>
      <c r="H53" s="134"/>
      <c r="I53" s="88" t="s">
        <v>36</v>
      </c>
      <c r="J53" s="147">
        <v>10</v>
      </c>
      <c r="K53" s="148">
        <v>10</v>
      </c>
      <c r="L53" s="89">
        <f t="shared" si="51"/>
        <v>20</v>
      </c>
      <c r="M53" s="104">
        <f t="shared" si="52"/>
        <v>10</v>
      </c>
      <c r="N53" s="169">
        <f t="shared" si="48"/>
        <v>200</v>
      </c>
      <c r="O53" s="106">
        <v>0.1</v>
      </c>
      <c r="P53" s="185">
        <v>0.1</v>
      </c>
      <c r="Q53" s="176">
        <f t="shared" si="7"/>
        <v>24.000000000000004</v>
      </c>
      <c r="R53" s="176">
        <f t="shared" si="49"/>
        <v>240.00000000000003</v>
      </c>
      <c r="S53" s="167">
        <f t="shared" si="50"/>
        <v>40.000000000000028</v>
      </c>
      <c r="V53" s="8"/>
      <c r="W53" s="29"/>
      <c r="Y53"/>
    </row>
    <row r="54" spans="2:25" ht="15.75" thickBot="1" x14ac:dyDescent="0.3">
      <c r="B54" s="124" t="s">
        <v>34</v>
      </c>
      <c r="C54" s="125"/>
      <c r="D54" s="126"/>
      <c r="E54" s="126"/>
      <c r="F54" s="127"/>
      <c r="G54" s="128" t="s">
        <v>15</v>
      </c>
      <c r="H54" s="139">
        <f>+H17</f>
        <v>2.04</v>
      </c>
      <c r="J54" s="113"/>
      <c r="L54" s="68"/>
      <c r="M54" s="112" t="s">
        <v>15</v>
      </c>
      <c r="N54" s="171">
        <f>SUM(N18:N53)</f>
        <v>202</v>
      </c>
      <c r="O54" s="107">
        <f>AVERAGE(O18:O53)</f>
        <v>3.3333333333333335E-3</v>
      </c>
      <c r="P54" s="189">
        <f>AVERAGE(P18:P53)</f>
        <v>3.3333333333333335E-3</v>
      </c>
      <c r="Q54" s="181" t="s">
        <v>15</v>
      </c>
      <c r="R54" s="190">
        <f>SUM(R18:R53)</f>
        <v>242.04000000000002</v>
      </c>
      <c r="S54" s="191">
        <f>SUM(S18:S53)</f>
        <v>40.040000000000028</v>
      </c>
    </row>
    <row r="55" spans="2:25" ht="24" customHeight="1" thickBot="1" x14ac:dyDescent="0.3">
      <c r="B55" s="225"/>
      <c r="C55" s="226"/>
      <c r="D55" s="226"/>
      <c r="E55" s="226"/>
      <c r="F55" s="227"/>
      <c r="G55" s="129" t="s">
        <v>25</v>
      </c>
      <c r="H55" s="140">
        <f>H54*0.05</f>
        <v>0.10200000000000001</v>
      </c>
      <c r="L55" s="68"/>
      <c r="M55" s="69" t="s">
        <v>16</v>
      </c>
      <c r="N55" s="172">
        <f>+N54*0.18</f>
        <v>36.36</v>
      </c>
      <c r="O55" s="70"/>
      <c r="P55" s="70"/>
      <c r="Q55" s="69" t="s">
        <v>16</v>
      </c>
      <c r="R55" s="178">
        <f>+R54*0.18</f>
        <v>43.5672</v>
      </c>
      <c r="S55" s="179"/>
    </row>
    <row r="56" spans="2:25" ht="26.25" customHeight="1" thickBot="1" x14ac:dyDescent="0.3">
      <c r="B56" s="228"/>
      <c r="C56" s="229"/>
      <c r="D56" s="229"/>
      <c r="E56" s="229"/>
      <c r="F56" s="230"/>
      <c r="G56" s="130" t="s">
        <v>21</v>
      </c>
      <c r="H56" s="141">
        <f>S54</f>
        <v>40.040000000000028</v>
      </c>
      <c r="L56" s="68"/>
      <c r="M56" s="71" t="s">
        <v>17</v>
      </c>
      <c r="N56" s="173">
        <f>+N55+N54</f>
        <v>238.36</v>
      </c>
      <c r="O56" s="70"/>
      <c r="P56" s="70"/>
      <c r="Q56" s="71" t="s">
        <v>17</v>
      </c>
      <c r="R56" s="176">
        <f>+R55+R54</f>
        <v>285.60720000000003</v>
      </c>
      <c r="S56" s="180"/>
      <c r="T56" s="11"/>
      <c r="U56" s="12"/>
    </row>
    <row r="57" spans="2:25" ht="40.5" customHeight="1" thickBot="1" x14ac:dyDescent="0.3">
      <c r="B57" s="231"/>
      <c r="C57" s="232"/>
      <c r="D57" s="232"/>
      <c r="E57" s="232"/>
      <c r="F57" s="233"/>
      <c r="G57" s="131" t="s">
        <v>11</v>
      </c>
      <c r="H57" s="142">
        <f>+H56+H54+H55</f>
        <v>42.182000000000023</v>
      </c>
      <c r="J57" s="250"/>
      <c r="L57" s="68"/>
      <c r="M57" s="7"/>
      <c r="N57" s="7"/>
      <c r="O57" s="7"/>
      <c r="P57" s="7"/>
      <c r="Q57" s="7"/>
      <c r="R57" s="7"/>
      <c r="S57" s="7"/>
      <c r="T57" s="11"/>
      <c r="U57" s="12"/>
    </row>
    <row r="58" spans="2:25" ht="15.75" customHeight="1" thickBot="1" x14ac:dyDescent="0.3">
      <c r="B58" s="249" t="s">
        <v>66</v>
      </c>
      <c r="C58" s="244"/>
      <c r="D58" s="244"/>
      <c r="E58" s="244"/>
      <c r="F58" s="244"/>
      <c r="G58" s="244"/>
      <c r="H58" s="245"/>
      <c r="L58" s="7"/>
      <c r="O58" s="7"/>
      <c r="P58" s="7"/>
      <c r="Q58" s="10"/>
      <c r="R58" s="237" t="s">
        <v>19</v>
      </c>
      <c r="S58" s="238"/>
      <c r="T58" s="11"/>
      <c r="U58" s="12"/>
    </row>
    <row r="59" spans="2:25" ht="15.75" customHeight="1" thickBot="1" x14ac:dyDescent="0.3">
      <c r="B59" s="246" t="s">
        <v>67</v>
      </c>
      <c r="C59" s="247"/>
      <c r="D59" s="247"/>
      <c r="E59" s="247"/>
      <c r="F59" s="247"/>
      <c r="G59" s="247"/>
      <c r="H59" s="248"/>
      <c r="O59" s="7"/>
      <c r="P59" s="7"/>
      <c r="Q59" s="10"/>
      <c r="R59" s="13" t="str">
        <f>I18</f>
        <v>SODIMAC</v>
      </c>
      <c r="S59" s="14">
        <f ca="1">SUMIF($I$18:$L$42,R59,$N$18:$N$42)</f>
        <v>2</v>
      </c>
      <c r="T59" s="11"/>
      <c r="U59" s="11"/>
    </row>
    <row r="60" spans="2:25" x14ac:dyDescent="0.25">
      <c r="B60" s="72"/>
      <c r="C60" s="72"/>
      <c r="D60" s="74"/>
      <c r="E60" s="72"/>
      <c r="F60" s="73"/>
      <c r="G60" s="72"/>
      <c r="H60" s="98"/>
      <c r="O60" s="7"/>
      <c r="P60" s="7"/>
      <c r="Q60" s="10"/>
      <c r="R60" s="16" t="s">
        <v>36</v>
      </c>
      <c r="S60" s="15">
        <f ca="1">SUMIF($I$18:$L$53,R60,$N$18:$N$53)</f>
        <v>200</v>
      </c>
      <c r="X60" s="20"/>
    </row>
    <row r="61" spans="2:25" ht="15.75" thickBot="1" x14ac:dyDescent="0.3">
      <c r="M61" s="7"/>
      <c r="N61" s="7"/>
      <c r="O61" s="7"/>
      <c r="P61" s="7"/>
      <c r="Q61" s="10"/>
      <c r="R61" s="16"/>
      <c r="S61" s="17">
        <f ca="1">SUMIF($I$18:$L$42,R61,$N$18:$N$42)</f>
        <v>0</v>
      </c>
      <c r="X61" s="20"/>
    </row>
    <row r="62" spans="2:25" ht="15.75" thickBot="1" x14ac:dyDescent="0.3">
      <c r="L62" s="7"/>
      <c r="M62" s="7"/>
      <c r="N62" s="7"/>
      <c r="O62" s="7"/>
      <c r="P62" s="7"/>
      <c r="Q62" s="7"/>
      <c r="R62" s="18" t="s">
        <v>22</v>
      </c>
      <c r="S62" s="19">
        <f ca="1">SUM(S59:S60)</f>
        <v>202</v>
      </c>
      <c r="T62" s="11"/>
      <c r="U62" s="12"/>
    </row>
    <row r="63" spans="2:25" x14ac:dyDescent="0.25">
      <c r="E63" s="9"/>
      <c r="L63" s="7"/>
      <c r="M63" s="7"/>
      <c r="N63" s="7"/>
      <c r="O63" s="7"/>
      <c r="P63" s="7"/>
      <c r="Q63" s="7"/>
      <c r="R63" s="7"/>
      <c r="S63" s="7"/>
    </row>
    <row r="64" spans="2:25" x14ac:dyDescent="0.25">
      <c r="E64" s="9"/>
      <c r="H64" s="9"/>
      <c r="L64" s="7"/>
      <c r="M64" s="7"/>
      <c r="N64" s="10"/>
      <c r="O64" s="99"/>
      <c r="P64" s="99"/>
      <c r="Q64" s="10"/>
      <c r="R64" s="7"/>
      <c r="S64" s="99"/>
    </row>
    <row r="65" spans="6:19" x14ac:dyDescent="0.25">
      <c r="F65" s="9"/>
      <c r="H65" s="33"/>
      <c r="L65" s="101"/>
      <c r="M65" s="111"/>
      <c r="N65" s="111"/>
      <c r="O65" s="111"/>
      <c r="P65" s="111"/>
      <c r="Q65" s="111"/>
      <c r="R65" s="111"/>
      <c r="S65" s="111"/>
    </row>
    <row r="66" spans="6:19" x14ac:dyDescent="0.25">
      <c r="H66" s="33"/>
      <c r="L66" s="111"/>
      <c r="M66" s="7"/>
      <c r="N66" s="7"/>
      <c r="O66" s="7"/>
      <c r="P66" s="7"/>
      <c r="Q66" s="7"/>
      <c r="R66" s="7"/>
      <c r="S66" s="7"/>
    </row>
    <row r="67" spans="6:19" x14ac:dyDescent="0.25">
      <c r="L67" s="7"/>
      <c r="M67" s="100"/>
      <c r="N67" s="7"/>
      <c r="O67" s="7"/>
      <c r="P67" s="7"/>
      <c r="Q67" s="7"/>
      <c r="R67" s="10"/>
      <c r="S67" s="99"/>
    </row>
    <row r="68" spans="6:19" x14ac:dyDescent="0.25">
      <c r="L68" s="101"/>
      <c r="M68" s="100"/>
      <c r="N68" s="7"/>
      <c r="O68" s="99"/>
      <c r="P68" s="99"/>
      <c r="Q68" s="7"/>
      <c r="R68" s="99"/>
      <c r="S68" s="10"/>
    </row>
    <row r="69" spans="6:19" x14ac:dyDescent="0.25">
      <c r="H69" s="32"/>
      <c r="L69" s="101"/>
      <c r="M69" s="100"/>
      <c r="N69" s="7"/>
      <c r="O69" s="99"/>
      <c r="P69" s="99"/>
      <c r="Q69" s="7"/>
      <c r="R69" s="99"/>
      <c r="S69" s="10"/>
    </row>
    <row r="70" spans="6:19" x14ac:dyDescent="0.25">
      <c r="H70" s="33"/>
      <c r="L70" s="101"/>
      <c r="M70" s="100"/>
      <c r="N70" s="7"/>
      <c r="O70" s="99"/>
      <c r="P70" s="99"/>
      <c r="Q70" s="7"/>
      <c r="R70" s="99"/>
      <c r="S70" s="10"/>
    </row>
    <row r="71" spans="6:19" x14ac:dyDescent="0.25">
      <c r="F71" s="9"/>
      <c r="G71" s="9"/>
      <c r="H71" s="110"/>
      <c r="L71" s="101"/>
      <c r="O71" s="33"/>
      <c r="P71" s="33"/>
      <c r="R71" s="33"/>
      <c r="S71" s="11"/>
    </row>
    <row r="72" spans="6:19" x14ac:dyDescent="0.25">
      <c r="F72" s="9"/>
      <c r="G72" s="9"/>
      <c r="H72" s="110"/>
      <c r="L72" s="102"/>
      <c r="O72" s="33"/>
      <c r="P72" s="33"/>
      <c r="R72" s="33"/>
      <c r="S72" s="11"/>
    </row>
    <row r="73" spans="6:19" x14ac:dyDescent="0.25">
      <c r="F73" s="6"/>
      <c r="G73" s="12"/>
      <c r="L73" s="102"/>
      <c r="O73" s="33"/>
      <c r="P73" s="33"/>
      <c r="R73" s="33"/>
      <c r="S73" s="11"/>
    </row>
    <row r="74" spans="6:19" x14ac:dyDescent="0.25">
      <c r="L74" s="102"/>
      <c r="N74" s="33"/>
      <c r="O74" s="33"/>
      <c r="P74" s="33"/>
      <c r="Q74" s="33"/>
      <c r="R74" s="33"/>
      <c r="S74" s="33"/>
    </row>
    <row r="75" spans="6:19" x14ac:dyDescent="0.25">
      <c r="L75" s="102"/>
      <c r="N75" s="33"/>
      <c r="O75" s="33"/>
      <c r="P75" s="33"/>
      <c r="Q75" s="33"/>
      <c r="R75" s="33"/>
      <c r="S75" s="33"/>
    </row>
    <row r="76" spans="6:19" x14ac:dyDescent="0.25">
      <c r="F76" s="9"/>
      <c r="G76" s="9"/>
      <c r="H76" s="110"/>
      <c r="L76" s="33"/>
      <c r="M76" s="103"/>
      <c r="N76" s="103"/>
      <c r="O76" s="103"/>
      <c r="P76" s="103"/>
      <c r="Q76" s="103"/>
      <c r="R76" s="103"/>
    </row>
    <row r="77" spans="6:19" x14ac:dyDescent="0.25">
      <c r="F77" s="9"/>
      <c r="G77" s="9"/>
      <c r="H77" s="110"/>
      <c r="L77" s="103"/>
    </row>
    <row r="78" spans="6:19" x14ac:dyDescent="0.25">
      <c r="G78" s="12"/>
      <c r="Q78" s="11"/>
      <c r="R78" s="33"/>
    </row>
    <row r="79" spans="6:19" x14ac:dyDescent="0.25">
      <c r="I79" s="33"/>
      <c r="J79" s="33"/>
      <c r="K79" s="33"/>
      <c r="L79" s="102"/>
      <c r="M79" s="11"/>
      <c r="N79" s="33"/>
      <c r="Q79" s="33"/>
      <c r="R79" s="11"/>
    </row>
    <row r="80" spans="6:19" x14ac:dyDescent="0.25">
      <c r="I80" s="33"/>
      <c r="J80" s="33"/>
      <c r="K80" s="33"/>
      <c r="L80" s="102"/>
      <c r="N80" s="33"/>
      <c r="O80" s="33"/>
      <c r="P80" s="33"/>
      <c r="Q80" s="33"/>
      <c r="R80" s="33"/>
    </row>
    <row r="81" spans="9:19" x14ac:dyDescent="0.25">
      <c r="I81" s="33"/>
      <c r="J81" s="33"/>
      <c r="K81" s="33"/>
      <c r="L81" s="33"/>
      <c r="M81" s="33"/>
      <c r="N81" s="33"/>
    </row>
    <row r="82" spans="9:19" x14ac:dyDescent="0.25">
      <c r="I82" s="33"/>
      <c r="J82" s="33"/>
      <c r="K82" s="33"/>
      <c r="L82" s="33"/>
      <c r="M82" s="9"/>
      <c r="N82" s="9"/>
    </row>
    <row r="83" spans="9:19" x14ac:dyDescent="0.25">
      <c r="I83" s="9"/>
      <c r="J83" s="9"/>
      <c r="K83" s="9"/>
      <c r="L83" s="9"/>
      <c r="M83" s="9"/>
      <c r="N83" s="9"/>
    </row>
    <row r="84" spans="9:19" x14ac:dyDescent="0.25">
      <c r="I84" s="9"/>
      <c r="J84" s="9"/>
      <c r="K84" s="9"/>
      <c r="L84" s="9"/>
      <c r="M84" s="9"/>
      <c r="N84" s="9"/>
    </row>
    <row r="85" spans="9:19" x14ac:dyDescent="0.25">
      <c r="I85" s="9"/>
      <c r="J85" s="9"/>
      <c r="K85" s="9"/>
      <c r="L85" s="9"/>
      <c r="M85" s="9"/>
      <c r="N85" s="9"/>
    </row>
    <row r="86" spans="9:19" x14ac:dyDescent="0.25">
      <c r="I86" s="9"/>
      <c r="J86" s="9"/>
      <c r="K86" s="9"/>
      <c r="L86" s="9"/>
      <c r="M86" s="9"/>
      <c r="N86" s="9"/>
    </row>
    <row r="87" spans="9:19" x14ac:dyDescent="0.25">
      <c r="I87" s="9"/>
      <c r="J87" s="9"/>
      <c r="K87" s="9"/>
      <c r="L87" s="9"/>
      <c r="M87" s="9"/>
      <c r="N87" s="9"/>
    </row>
    <row r="88" spans="9:19" x14ac:dyDescent="0.25">
      <c r="I88" s="9"/>
      <c r="J88" s="9"/>
      <c r="K88" s="9"/>
      <c r="L88" s="9"/>
      <c r="M88" s="9"/>
      <c r="N88" s="9"/>
    </row>
    <row r="89" spans="9:19" x14ac:dyDescent="0.25">
      <c r="I89" s="9"/>
      <c r="J89" s="9"/>
      <c r="K89" s="9"/>
      <c r="L89" s="9"/>
      <c r="O89" s="9"/>
      <c r="P89" s="9"/>
      <c r="Q89" s="11"/>
      <c r="R89" s="9"/>
      <c r="S89" s="9"/>
    </row>
    <row r="90" spans="9:19" x14ac:dyDescent="0.25">
      <c r="O90" s="9"/>
      <c r="P90" s="9"/>
      <c r="Q90" s="9"/>
      <c r="R90" s="9"/>
      <c r="S90" s="9"/>
    </row>
    <row r="91" spans="9:19" x14ac:dyDescent="0.25">
      <c r="O91" s="9"/>
      <c r="P91" s="9"/>
      <c r="Q91" s="9"/>
      <c r="R91" s="9"/>
      <c r="S91" s="9"/>
    </row>
    <row r="92" spans="9:19" x14ac:dyDescent="0.25">
      <c r="O92" s="9"/>
      <c r="P92" s="9"/>
      <c r="Q92" s="9"/>
      <c r="R92" s="9"/>
      <c r="S92" s="9"/>
    </row>
    <row r="93" spans="9:19" x14ac:dyDescent="0.25">
      <c r="O93" s="9"/>
      <c r="P93" s="9"/>
      <c r="Q93" s="9"/>
      <c r="R93" s="9"/>
      <c r="S93" s="9"/>
    </row>
    <row r="94" spans="9:19" x14ac:dyDescent="0.25">
      <c r="O94" s="9"/>
      <c r="P94" s="9"/>
      <c r="Q94" s="9"/>
      <c r="R94" s="9"/>
      <c r="S94" s="9"/>
    </row>
    <row r="95" spans="9:19" x14ac:dyDescent="0.25">
      <c r="O95" s="9"/>
      <c r="P95" s="9"/>
      <c r="Q95" s="9"/>
      <c r="R95" s="9"/>
      <c r="S95" s="9"/>
    </row>
    <row r="96" spans="9:19" x14ac:dyDescent="0.25">
      <c r="O96" s="9"/>
      <c r="P96" s="9"/>
      <c r="Q96" s="9"/>
      <c r="R96" s="9"/>
      <c r="S96" s="9"/>
    </row>
    <row r="97" spans="15:19" x14ac:dyDescent="0.25">
      <c r="O97" s="9"/>
      <c r="P97" s="9"/>
      <c r="Q97" s="9"/>
      <c r="R97" s="9"/>
      <c r="S97" s="9"/>
    </row>
    <row r="98" spans="15:19" x14ac:dyDescent="0.25">
      <c r="O98" s="9"/>
      <c r="P98" s="9"/>
      <c r="Q98" s="9"/>
      <c r="R98" s="9"/>
      <c r="S98" s="9"/>
    </row>
    <row r="99" spans="15:19" x14ac:dyDescent="0.25">
      <c r="O99" s="9"/>
      <c r="P99" s="9"/>
      <c r="Q99" s="9"/>
      <c r="R99" s="9"/>
      <c r="S99" s="9"/>
    </row>
    <row r="100" spans="15:19" x14ac:dyDescent="0.25">
      <c r="O100" s="9"/>
      <c r="P100" s="9"/>
      <c r="Q100" s="9"/>
      <c r="R100" s="9"/>
      <c r="S100" s="9"/>
    </row>
    <row r="101" spans="15:19" x14ac:dyDescent="0.25">
      <c r="O101" s="9"/>
      <c r="P101" s="9"/>
      <c r="Q101" s="9"/>
      <c r="R101" s="9"/>
      <c r="S101" s="9"/>
    </row>
    <row r="102" spans="15:19" x14ac:dyDescent="0.25">
      <c r="O102" s="9"/>
      <c r="P102" s="9"/>
      <c r="Q102" s="9"/>
      <c r="R102" s="9"/>
      <c r="S102" s="9"/>
    </row>
    <row r="103" spans="15:19" x14ac:dyDescent="0.25">
      <c r="O103" s="9"/>
      <c r="P103" s="9"/>
      <c r="Q103" s="9"/>
      <c r="R103" s="9"/>
      <c r="S103" s="9"/>
    </row>
    <row r="104" spans="15:19" ht="15.75" thickBot="1" x14ac:dyDescent="0.3"/>
    <row r="105" spans="15:19" ht="15.75" thickBot="1" x14ac:dyDescent="0.3">
      <c r="O105" s="21"/>
      <c r="P105" s="114"/>
      <c r="Q105" s="22"/>
    </row>
    <row r="106" spans="15:19" x14ac:dyDescent="0.25">
      <c r="O106" s="23"/>
      <c r="P106" s="115"/>
      <c r="Q106" s="24"/>
    </row>
    <row r="107" spans="15:19" ht="15.75" thickBot="1" x14ac:dyDescent="0.3">
      <c r="O107" s="25"/>
      <c r="P107" s="116"/>
      <c r="Q107" s="26"/>
    </row>
    <row r="108" spans="15:19" ht="15.75" thickBot="1" x14ac:dyDescent="0.3">
      <c r="O108" s="27"/>
      <c r="P108" s="117"/>
      <c r="Q108" s="28"/>
    </row>
    <row r="115" spans="17:17" x14ac:dyDescent="0.25">
      <c r="Q115" s="12"/>
    </row>
    <row r="116" spans="17:17" x14ac:dyDescent="0.25">
      <c r="Q116" s="9"/>
    </row>
    <row r="117" spans="17:17" x14ac:dyDescent="0.25">
      <c r="Q117" s="12"/>
    </row>
  </sheetData>
  <mergeCells count="20">
    <mergeCell ref="B55:F57"/>
    <mergeCell ref="R14:R15"/>
    <mergeCell ref="S14:S15"/>
    <mergeCell ref="R58:S58"/>
    <mergeCell ref="I14:I15"/>
    <mergeCell ref="L14:L15"/>
    <mergeCell ref="M14:M15"/>
    <mergeCell ref="N14:N15"/>
    <mergeCell ref="O14:O15"/>
    <mergeCell ref="Q14:Q15"/>
    <mergeCell ref="K14:K15"/>
    <mergeCell ref="J14:J15"/>
    <mergeCell ref="P14:P15"/>
    <mergeCell ref="B7:H7"/>
    <mergeCell ref="C14:C15"/>
    <mergeCell ref="D14:D15"/>
    <mergeCell ref="E14:E15"/>
    <mergeCell ref="F14:F15"/>
    <mergeCell ref="G14:G15"/>
    <mergeCell ref="H14:H15"/>
  </mergeCells>
  <pageMargins left="0.70866141732283472" right="0.70866141732283472" top="0.74803149606299213" bottom="0.74803149606299213" header="0.31496062992125984" footer="0.31496062992125984"/>
  <pageSetup paperSize="9" scale="38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851F-2EAB-4EF3-974C-39EC32712B3D}">
  <dimension ref="C1:L75"/>
  <sheetViews>
    <sheetView zoomScale="85" zoomScaleNormal="85" workbookViewId="0">
      <selection activeCell="P6" sqref="P6"/>
    </sheetView>
  </sheetViews>
  <sheetFormatPr baseColWidth="10" defaultRowHeight="15" x14ac:dyDescent="0.25"/>
  <cols>
    <col min="9" max="9" width="22.7109375" customWidth="1"/>
    <col min="10" max="10" width="23.42578125" customWidth="1"/>
    <col min="11" max="11" width="20.85546875" customWidth="1"/>
    <col min="12" max="12" width="34.42578125" customWidth="1"/>
  </cols>
  <sheetData>
    <row r="1" spans="3:12" ht="15.75" thickBot="1" x14ac:dyDescent="0.3"/>
    <row r="2" spans="3:12" ht="43.5" customHeight="1" thickBot="1" x14ac:dyDescent="0.3">
      <c r="E2" s="213" t="s">
        <v>41</v>
      </c>
      <c r="F2" s="214"/>
      <c r="G2" s="215"/>
      <c r="I2" s="197" t="s">
        <v>42</v>
      </c>
      <c r="J2" s="198" t="s">
        <v>37</v>
      </c>
      <c r="K2" s="198" t="s">
        <v>43</v>
      </c>
      <c r="L2" s="199" t="s">
        <v>53</v>
      </c>
    </row>
    <row r="3" spans="3:12" ht="43.5" customHeight="1" thickBot="1" x14ac:dyDescent="0.3">
      <c r="E3" s="203" t="s">
        <v>38</v>
      </c>
      <c r="F3" s="203" t="s">
        <v>39</v>
      </c>
      <c r="G3" s="203" t="s">
        <v>40</v>
      </c>
      <c r="I3" s="200" t="s">
        <v>46</v>
      </c>
      <c r="J3" s="201" t="s">
        <v>44</v>
      </c>
      <c r="K3" s="201" t="s">
        <v>45</v>
      </c>
      <c r="L3" s="202" t="s">
        <v>47</v>
      </c>
    </row>
    <row r="4" spans="3:12" ht="43.5" customHeight="1" x14ac:dyDescent="0.25">
      <c r="C4" s="210" t="s">
        <v>37</v>
      </c>
      <c r="D4" s="208" t="s">
        <v>38</v>
      </c>
      <c r="E4" s="192" t="s">
        <v>48</v>
      </c>
      <c r="F4" s="193" t="s">
        <v>49</v>
      </c>
      <c r="G4" s="194" t="s">
        <v>50</v>
      </c>
      <c r="H4" s="72"/>
      <c r="I4" s="203" t="s">
        <v>54</v>
      </c>
      <c r="J4" s="203" t="s">
        <v>55</v>
      </c>
      <c r="K4" s="203" t="s">
        <v>56</v>
      </c>
      <c r="L4" s="204" t="s">
        <v>57</v>
      </c>
    </row>
    <row r="5" spans="3:12" ht="43.5" customHeight="1" x14ac:dyDescent="0.25">
      <c r="C5" s="211"/>
      <c r="D5" s="208" t="s">
        <v>39</v>
      </c>
      <c r="E5" s="193" t="s">
        <v>49</v>
      </c>
      <c r="F5" s="194" t="s">
        <v>50</v>
      </c>
      <c r="G5" s="195" t="s">
        <v>51</v>
      </c>
      <c r="H5" s="72"/>
      <c r="I5" s="203" t="s">
        <v>58</v>
      </c>
      <c r="J5" s="203" t="s">
        <v>60</v>
      </c>
      <c r="K5" s="203" t="s">
        <v>56</v>
      </c>
      <c r="L5" s="205" t="s">
        <v>59</v>
      </c>
    </row>
    <row r="6" spans="3:12" ht="43.5" customHeight="1" thickBot="1" x14ac:dyDescent="0.3">
      <c r="C6" s="212"/>
      <c r="D6" s="208" t="s">
        <v>40</v>
      </c>
      <c r="E6" s="194" t="s">
        <v>50</v>
      </c>
      <c r="F6" s="195" t="s">
        <v>51</v>
      </c>
      <c r="G6" s="196" t="s">
        <v>52</v>
      </c>
      <c r="H6" s="72"/>
      <c r="I6" s="203" t="s">
        <v>61</v>
      </c>
      <c r="J6" s="203" t="s">
        <v>56</v>
      </c>
      <c r="K6" s="203" t="s">
        <v>56</v>
      </c>
      <c r="L6" s="206" t="s">
        <v>62</v>
      </c>
    </row>
    <row r="7" spans="3:12" ht="43.5" customHeight="1" x14ac:dyDescent="0.25">
      <c r="I7" s="203" t="s">
        <v>63</v>
      </c>
      <c r="J7" s="203" t="s">
        <v>65</v>
      </c>
      <c r="K7" s="203" t="s">
        <v>65</v>
      </c>
      <c r="L7" s="209" t="s">
        <v>64</v>
      </c>
    </row>
    <row r="8" spans="3:12" ht="43.5" customHeight="1" x14ac:dyDescent="0.25">
      <c r="I8" s="207"/>
      <c r="J8" s="207"/>
      <c r="K8" s="207"/>
      <c r="L8" s="207"/>
    </row>
    <row r="9" spans="3:12" ht="43.5" customHeight="1" x14ac:dyDescent="0.25"/>
    <row r="10" spans="3:12" ht="43.5" customHeight="1" x14ac:dyDescent="0.25"/>
    <row r="11" spans="3:12" ht="43.5" customHeight="1" x14ac:dyDescent="0.25"/>
    <row r="12" spans="3:12" ht="43.5" customHeight="1" x14ac:dyDescent="0.25"/>
    <row r="13" spans="3:12" ht="43.5" customHeight="1" x14ac:dyDescent="0.25"/>
    <row r="14" spans="3:12" ht="43.5" customHeight="1" x14ac:dyDescent="0.25"/>
    <row r="15" spans="3:12" ht="43.5" customHeight="1" x14ac:dyDescent="0.25"/>
    <row r="16" spans="3:12" ht="43.5" customHeight="1" x14ac:dyDescent="0.25"/>
    <row r="17" ht="43.5" customHeight="1" x14ac:dyDescent="0.25"/>
    <row r="18" ht="43.5" customHeight="1" x14ac:dyDescent="0.25"/>
    <row r="19" ht="43.5" customHeight="1" x14ac:dyDescent="0.25"/>
    <row r="20" ht="43.5" customHeight="1" x14ac:dyDescent="0.25"/>
    <row r="21" ht="43.5" customHeight="1" x14ac:dyDescent="0.25"/>
    <row r="22" ht="43.5" customHeight="1" x14ac:dyDescent="0.25"/>
    <row r="23" ht="43.5" customHeight="1" x14ac:dyDescent="0.25"/>
    <row r="24" ht="43.5" customHeight="1" x14ac:dyDescent="0.25"/>
    <row r="25" ht="43.5" customHeight="1" x14ac:dyDescent="0.25"/>
    <row r="26" ht="43.5" customHeight="1" x14ac:dyDescent="0.25"/>
    <row r="27" ht="43.5" customHeight="1" x14ac:dyDescent="0.25"/>
    <row r="28" ht="43.5" customHeight="1" x14ac:dyDescent="0.25"/>
    <row r="29" ht="43.5" customHeight="1" x14ac:dyDescent="0.25"/>
    <row r="30" ht="43.5" customHeight="1" x14ac:dyDescent="0.25"/>
    <row r="31" ht="43.5" customHeight="1" x14ac:dyDescent="0.25"/>
    <row r="32" ht="43.5" customHeight="1" x14ac:dyDescent="0.25"/>
    <row r="33" ht="43.5" customHeight="1" x14ac:dyDescent="0.25"/>
    <row r="34" ht="43.5" customHeight="1" x14ac:dyDescent="0.25"/>
    <row r="35" ht="43.5" customHeight="1" x14ac:dyDescent="0.25"/>
    <row r="36" ht="43.5" customHeight="1" x14ac:dyDescent="0.25"/>
    <row r="37" ht="43.5" customHeight="1" x14ac:dyDescent="0.25"/>
    <row r="38" ht="43.5" customHeight="1" x14ac:dyDescent="0.25"/>
    <row r="39" ht="43.5" customHeight="1" x14ac:dyDescent="0.25"/>
    <row r="40" ht="43.5" customHeight="1" x14ac:dyDescent="0.25"/>
    <row r="41" ht="43.5" customHeight="1" x14ac:dyDescent="0.25"/>
    <row r="42" ht="43.5" customHeight="1" x14ac:dyDescent="0.25"/>
    <row r="43" ht="43.5" customHeight="1" x14ac:dyDescent="0.25"/>
    <row r="44" ht="43.5" customHeight="1" x14ac:dyDescent="0.25"/>
    <row r="45" ht="43.5" customHeight="1" x14ac:dyDescent="0.25"/>
    <row r="46" ht="43.5" customHeight="1" x14ac:dyDescent="0.25"/>
    <row r="47" ht="43.5" customHeight="1" x14ac:dyDescent="0.25"/>
    <row r="48" ht="43.5" customHeight="1" x14ac:dyDescent="0.25"/>
    <row r="49" ht="43.5" customHeight="1" x14ac:dyDescent="0.25"/>
    <row r="50" ht="43.5" customHeight="1" x14ac:dyDescent="0.25"/>
    <row r="51" ht="43.5" customHeight="1" x14ac:dyDescent="0.25"/>
    <row r="52" ht="43.5" customHeight="1" x14ac:dyDescent="0.25"/>
    <row r="53" ht="43.5" customHeight="1" x14ac:dyDescent="0.25"/>
    <row r="54" ht="43.5" customHeight="1" x14ac:dyDescent="0.25"/>
    <row r="55" ht="43.5" customHeight="1" x14ac:dyDescent="0.25"/>
    <row r="56" ht="43.5" customHeight="1" x14ac:dyDescent="0.25"/>
    <row r="57" ht="43.5" customHeight="1" x14ac:dyDescent="0.25"/>
    <row r="58" ht="43.5" customHeight="1" x14ac:dyDescent="0.25"/>
    <row r="59" ht="43.5" customHeight="1" x14ac:dyDescent="0.25"/>
    <row r="60" ht="43.5" customHeight="1" x14ac:dyDescent="0.25"/>
    <row r="61" ht="43.5" customHeight="1" x14ac:dyDescent="0.25"/>
    <row r="62" ht="43.5" customHeight="1" x14ac:dyDescent="0.25"/>
    <row r="63" ht="43.5" customHeight="1" x14ac:dyDescent="0.25"/>
    <row r="64" ht="43.5" customHeight="1" x14ac:dyDescent="0.25"/>
    <row r="65" ht="43.5" customHeight="1" x14ac:dyDescent="0.25"/>
    <row r="66" ht="43.5" customHeight="1" x14ac:dyDescent="0.25"/>
    <row r="67" ht="43.5" customHeight="1" x14ac:dyDescent="0.25"/>
    <row r="68" ht="43.5" customHeight="1" x14ac:dyDescent="0.25"/>
    <row r="69" ht="43.5" customHeight="1" x14ac:dyDescent="0.25"/>
    <row r="70" ht="54" customHeight="1" x14ac:dyDescent="0.25"/>
    <row r="71" ht="54" customHeight="1" x14ac:dyDescent="0.25"/>
    <row r="72" ht="54" customHeight="1" x14ac:dyDescent="0.25"/>
    <row r="73" ht="54" customHeight="1" x14ac:dyDescent="0.25"/>
    <row r="74" ht="54" customHeight="1" x14ac:dyDescent="0.25"/>
    <row r="75" ht="54" customHeight="1" x14ac:dyDescent="0.25"/>
  </sheetData>
  <mergeCells count="2">
    <mergeCell ref="C4:C6"/>
    <mergeCell ref="E2:G2"/>
  </mergeCells>
  <phoneticPr fontId="3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de cotización</vt:lpstr>
      <vt:lpstr>MATRIZ DE RIESGO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Portal</dc:creator>
  <cp:lastModifiedBy>Matteo matteo Uccelli meneses</cp:lastModifiedBy>
  <cp:lastPrinted>2022-01-13T21:09:36Z</cp:lastPrinted>
  <dcterms:created xsi:type="dcterms:W3CDTF">2022-01-03T14:43:08Z</dcterms:created>
  <dcterms:modified xsi:type="dcterms:W3CDTF">2026-03-12T22:28:41Z</dcterms:modified>
</cp:coreProperties>
</file>