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cuments\MUArq\"/>
    </mc:Choice>
  </mc:AlternateContent>
  <xr:revisionPtr revIDLastSave="0" documentId="8_{752C0D42-EB56-4C9C-9051-91133DAD64D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STAS + README" sheetId="1" r:id="rId1"/>
    <sheet name="CRONOGRAMA BASE" sheetId="2" r:id="rId2"/>
    <sheet name="PRESENTACION" sheetId="3" r:id="rId3"/>
  </sheets>
  <definedNames>
    <definedName name="_xlnm.Print_Area" localSheetId="2">PRESENTACION!$A$1:$J$55</definedName>
    <definedName name="_xlnm.Print_Titles" localSheetId="2">PRESENTACION!$1:$11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I5" i="3"/>
  <c r="E5" i="3"/>
  <c r="B5" i="3"/>
  <c r="I3" i="3"/>
  <c r="E3" i="3"/>
  <c r="B3" i="3"/>
  <c r="I24" i="2"/>
  <c r="I22" i="2"/>
  <c r="L20" i="2"/>
  <c r="J20" i="2"/>
  <c r="L19" i="2"/>
  <c r="J19" i="2"/>
  <c r="L18" i="2"/>
  <c r="J18" i="2"/>
  <c r="L17" i="2"/>
  <c r="J17" i="2"/>
  <c r="L16" i="2"/>
  <c r="J16" i="2"/>
  <c r="L15" i="2"/>
  <c r="J15" i="2"/>
  <c r="L14" i="2"/>
  <c r="J14" i="2"/>
  <c r="L13" i="2"/>
  <c r="J13" i="2"/>
  <c r="J12" i="2"/>
  <c r="J11" i="2"/>
  <c r="J10" i="2"/>
  <c r="L9" i="2"/>
  <c r="F12" i="3" s="1"/>
  <c r="J9" i="2"/>
  <c r="I23" i="2" l="1"/>
  <c r="G12" i="3"/>
  <c r="H12" i="3"/>
  <c r="L10" i="2"/>
  <c r="A12" i="3"/>
  <c r="L38" i="3" s="1"/>
  <c r="B12" i="3"/>
  <c r="C12" i="3"/>
  <c r="D12" i="3"/>
  <c r="I12" i="3"/>
  <c r="E12" i="3"/>
  <c r="B13" i="3" l="1"/>
  <c r="A13" i="3"/>
  <c r="L39" i="3" s="1"/>
  <c r="F13" i="3"/>
  <c r="M38" i="3"/>
  <c r="N38" i="3"/>
  <c r="D13" i="3"/>
  <c r="G13" i="3"/>
  <c r="I13" i="3"/>
  <c r="E13" i="3"/>
  <c r="H13" i="3"/>
  <c r="L11" i="2"/>
  <c r="C13" i="3"/>
  <c r="N39" i="3" l="1"/>
  <c r="M39" i="3"/>
  <c r="G14" i="3"/>
  <c r="L12" i="2"/>
  <c r="B22" i="3" s="1"/>
  <c r="C14" i="3"/>
  <c r="I14" i="3"/>
  <c r="F14" i="3"/>
  <c r="E14" i="3"/>
  <c r="D14" i="3"/>
  <c r="A14" i="3"/>
  <c r="L40" i="3" s="1"/>
  <c r="H14" i="3"/>
  <c r="B14" i="3"/>
  <c r="E20" i="3" l="1"/>
  <c r="I21" i="3"/>
  <c r="C23" i="3"/>
  <c r="D20" i="3"/>
  <c r="G20" i="3"/>
  <c r="C18" i="3"/>
  <c r="D18" i="3"/>
  <c r="E19" i="3"/>
  <c r="F16" i="3"/>
  <c r="E22" i="3"/>
  <c r="G15" i="3"/>
  <c r="I15" i="3"/>
  <c r="H18" i="3"/>
  <c r="A21" i="3"/>
  <c r="L47" i="3" s="1"/>
  <c r="N47" i="3" s="1"/>
  <c r="C16" i="3"/>
  <c r="A23" i="3"/>
  <c r="L49" i="3" s="1"/>
  <c r="N49" i="3" s="1"/>
  <c r="B16" i="3"/>
  <c r="A18" i="3"/>
  <c r="L44" i="3" s="1"/>
  <c r="M44" i="3" s="1"/>
  <c r="B17" i="3"/>
  <c r="G16" i="3"/>
  <c r="C20" i="3"/>
  <c r="A16" i="3"/>
  <c r="L42" i="3" s="1"/>
  <c r="B18" i="3"/>
  <c r="F23" i="3"/>
  <c r="A17" i="3"/>
  <c r="L43" i="3" s="1"/>
  <c r="C15" i="3"/>
  <c r="G22" i="3"/>
  <c r="I19" i="3"/>
  <c r="I22" i="3"/>
  <c r="H19" i="3"/>
  <c r="C17" i="3"/>
  <c r="D21" i="3"/>
  <c r="B19" i="3"/>
  <c r="F19" i="3"/>
  <c r="B23" i="3"/>
  <c r="H16" i="3"/>
  <c r="G21" i="3"/>
  <c r="I20" i="3"/>
  <c r="G19" i="3"/>
  <c r="D22" i="3"/>
  <c r="F17" i="3"/>
  <c r="B20" i="3"/>
  <c r="A22" i="3"/>
  <c r="L48" i="3" s="1"/>
  <c r="C19" i="3"/>
  <c r="G17" i="3"/>
  <c r="I17" i="3"/>
  <c r="B15" i="3"/>
  <c r="D19" i="3"/>
  <c r="E16" i="3"/>
  <c r="E17" i="3"/>
  <c r="H22" i="3"/>
  <c r="F20" i="3"/>
  <c r="F18" i="3"/>
  <c r="D23" i="3"/>
  <c r="A19" i="3"/>
  <c r="L45" i="3" s="1"/>
  <c r="H15" i="3"/>
  <c r="H21" i="3"/>
  <c r="H20" i="3"/>
  <c r="D17" i="3"/>
  <c r="F21" i="3"/>
  <c r="C21" i="3"/>
  <c r="B21" i="3"/>
  <c r="A15" i="3"/>
  <c r="L41" i="3" s="1"/>
  <c r="M41" i="3" s="1"/>
  <c r="H17" i="3"/>
  <c r="N42" i="3"/>
  <c r="M42" i="3"/>
  <c r="H23" i="3"/>
  <c r="F15" i="3"/>
  <c r="G23" i="3"/>
  <c r="E18" i="3"/>
  <c r="D16" i="3"/>
  <c r="I23" i="3"/>
  <c r="C22" i="3"/>
  <c r="N45" i="3"/>
  <c r="M45" i="3"/>
  <c r="M43" i="3"/>
  <c r="N43" i="3"/>
  <c r="N41" i="3"/>
  <c r="E21" i="3"/>
  <c r="G18" i="3"/>
  <c r="F22" i="3"/>
  <c r="E15" i="3"/>
  <c r="N40" i="3"/>
  <c r="M40" i="3"/>
  <c r="N48" i="3"/>
  <c r="M48" i="3"/>
  <c r="E23" i="3"/>
  <c r="I16" i="3"/>
  <c r="A20" i="3"/>
  <c r="L46" i="3" s="1"/>
  <c r="I18" i="3"/>
  <c r="D15" i="3"/>
  <c r="M47" i="3" l="1"/>
  <c r="M49" i="3"/>
  <c r="N44" i="3"/>
  <c r="N46" i="3"/>
  <c r="M46" i="3"/>
</calcChain>
</file>

<file path=xl/sharedStrings.xml><?xml version="1.0" encoding="utf-8"?>
<sst xmlns="http://schemas.openxmlformats.org/spreadsheetml/2006/main" count="152" uniqueCount="98">
  <si>
    <t>README</t>
  </si>
  <si>
    <t>1. Usa la hoja CRONOGRAMA BASE para definir las etapas del servicio.</t>
  </si>
  <si>
    <t>2. Edita solo las celdas amarillas.</t>
  </si>
  <si>
    <t>3. Marca “Mostrar al cliente” en Sí solo para las filas que quieras imprimir.</t>
  </si>
  <si>
    <t>4. La hoja PRESENTACION jala automáticamente las filas visibles.</t>
  </si>
  <si>
    <t>5. El cronograma está pensado para servicios de arquitectura/diseño, no para programación técnica de obra.</t>
  </si>
  <si>
    <t>LISTAS</t>
  </si>
  <si>
    <t>TIPO DE PROYECTO</t>
  </si>
  <si>
    <t>ALCANCE</t>
  </si>
  <si>
    <t>ETAPA</t>
  </si>
  <si>
    <t>VALIDACIÓN / HITO</t>
  </si>
  <si>
    <t>MOSTRAR AL CLIENTE</t>
  </si>
  <si>
    <t>FORMA DE COBRO</t>
  </si>
  <si>
    <t>Arquitectura interior</t>
  </si>
  <si>
    <t>Básico</t>
  </si>
  <si>
    <t>Levantamiento</t>
  </si>
  <si>
    <t>Kick-off</t>
  </si>
  <si>
    <t>Sí</t>
  </si>
  <si>
    <t>Contra inicio</t>
  </si>
  <si>
    <t>Remodelación</t>
  </si>
  <si>
    <t>Intermedio</t>
  </si>
  <si>
    <t>Diagnóstico</t>
  </si>
  <si>
    <t>Aprobación de información base</t>
  </si>
  <si>
    <t>No</t>
  </si>
  <si>
    <t>Contra aprobación de etapa</t>
  </si>
  <si>
    <t>Ampliación</t>
  </si>
  <si>
    <t>Integral</t>
  </si>
  <si>
    <t>Programa / briefing</t>
  </si>
  <si>
    <t>Aprobación de layout</t>
  </si>
  <si>
    <t>Contra entrega</t>
  </si>
  <si>
    <t>Arquitectura nueva</t>
  </si>
  <si>
    <t>A medida</t>
  </si>
  <si>
    <t>Anteproyecto</t>
  </si>
  <si>
    <t>Aprobación de anteproyecto</t>
  </si>
  <si>
    <t>Mixto</t>
  </si>
  <si>
    <t>Consultoría</t>
  </si>
  <si>
    <t>Desarrollo de proyecto</t>
  </si>
  <si>
    <t>Entrega de dossier</t>
  </si>
  <si>
    <t>Diseño + documentación</t>
  </si>
  <si>
    <t>Documentación técnica</t>
  </si>
  <si>
    <t>Cierre de observaciones</t>
  </si>
  <si>
    <t>Compatibilización</t>
  </si>
  <si>
    <t>Entrega final</t>
  </si>
  <si>
    <t>Supervisión / seguimiento</t>
  </si>
  <si>
    <t>Cierre / entrega final</t>
  </si>
  <si>
    <t>CRONOGRAMA BASE DE SERVICIO</t>
  </si>
  <si>
    <t>Cliente</t>
  </si>
  <si>
    <t>Cliente / empresa</t>
  </si>
  <si>
    <t>Proyecto</t>
  </si>
  <si>
    <t>Nombre del proyecto</t>
  </si>
  <si>
    <t>Tipo de proyecto</t>
  </si>
  <si>
    <t>Alcance</t>
  </si>
  <si>
    <t>Código</t>
  </si>
  <si>
    <t>CR-001</t>
  </si>
  <si>
    <t>Fecha</t>
  </si>
  <si>
    <t>12/03/2026</t>
  </si>
  <si>
    <t>Honorarios totales</t>
  </si>
  <si>
    <t>Observación general</t>
  </si>
  <si>
    <t>Ajusta tiempos, hitos y porcentajes según el encargo.</t>
  </si>
  <si>
    <t>Etapa</t>
  </si>
  <si>
    <t>Actividad principal</t>
  </si>
  <si>
    <t>Entregable</t>
  </si>
  <si>
    <t>Duración</t>
  </si>
  <si>
    <t>Unidad</t>
  </si>
  <si>
    <t>Dependencia</t>
  </si>
  <si>
    <t>Hito de validación</t>
  </si>
  <si>
    <t>Hito de cobro</t>
  </si>
  <si>
    <t>% cobro</t>
  </si>
  <si>
    <t>Monto de cobro</t>
  </si>
  <si>
    <t>Mostrar al cliente</t>
  </si>
  <si>
    <t>Orden impresión</t>
  </si>
  <si>
    <t>Recopilar información base y requerimientos</t>
  </si>
  <si>
    <t>Ficha inicial + levantamiento</t>
  </si>
  <si>
    <t>días</t>
  </si>
  <si>
    <t>Adelanto / coordinación inicial</t>
  </si>
  <si>
    <t>Desarrollar propuesta general</t>
  </si>
  <si>
    <t>Layout + criterio de diseño</t>
  </si>
  <si>
    <t>Información base completa</t>
  </si>
  <si>
    <t>Desarrollar planos y decisiones principales</t>
  </si>
  <si>
    <t>Dossier de proyecto</t>
  </si>
  <si>
    <t>Ordenar láminas y detalles finales</t>
  </si>
  <si>
    <t>Paquete técnico / PDF final</t>
  </si>
  <si>
    <t>Total %</t>
  </si>
  <si>
    <t>Total cobros</t>
  </si>
  <si>
    <t>Duración total</t>
  </si>
  <si>
    <t>Honorarios</t>
  </si>
  <si>
    <t>Resumen</t>
  </si>
  <si>
    <t>Este cronograma presenta las etapas, entregables, tiempos e hitos de cobro del servicio. Los plazos corren desde la confirmación del encargo y dependen de la entrega oportuna de información y feedback del cliente.</t>
  </si>
  <si>
    <t>%</t>
  </si>
  <si>
    <t>Monto</t>
  </si>
  <si>
    <t>Observaciones</t>
  </si>
  <si>
    <t>Notas</t>
  </si>
  <si>
    <t>• Los tiempos no consideran retrasos por falta de información, cambios de alcance o aprobaciones externas.</t>
  </si>
  <si>
    <t>• Los hitos de cobro se activan según la etapa indicada en la tabla.</t>
  </si>
  <si>
    <t>• Cualquier ajuste relevante de alcance debe reflejarse en una orden de cambio.</t>
  </si>
  <si>
    <t>DIAGRAMA GANTT REFERENCIAL</t>
  </si>
  <si>
    <t>Visualización simple del orden e inicio de cada etapa. La barra muestra la duración referencial de cada fase del servicio.</t>
  </si>
  <si>
    <t>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</si>
</sst>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</font>
    <font>
      <sz val="10"/>
      <name val="Arial"/>
    </font>
    <font>
      <b/>
      <sz val="13"/>
      <color rgb="FFFFFFFF"/>
      <name val="Cambria"/>
    </font>
    <font>
      <b/>
      <sz val="11"/>
      <color rgb="FFFFFFFF"/>
      <name val="Cambria"/>
    </font>
    <font>
      <b/>
      <sz val="11"/>
      <name val="Cambria"/>
    </font>
    <font>
      <b/>
      <sz val="14"/>
      <color rgb="FFFFFFFF"/>
      <name val="Cambria"/>
    </font>
    <font>
      <sz val="11"/>
      <color rgb="FF0000FF"/>
      <name val="Cambria"/>
    </font>
    <font>
      <b/>
      <sz val="11"/>
      <color rgb="FFFFFFFF"/>
      <name val="Calibri"/>
    </font>
    <font>
      <i/>
      <sz val="9"/>
      <color rgb="FF40404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5FAFF"/>
      </patternFill>
    </fill>
    <fill>
      <patternFill patternType="solid">
        <fgColor rgb="FFFAFAFA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4" fillId="3" borderId="0" xfId="0" applyFont="1" applyFill="1"/>
    <xf numFmtId="0" fontId="6" fillId="4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6" fillId="4" borderId="1" xfId="0" applyFont="1" applyFill="1" applyBorder="1"/>
    <xf numFmtId="1" fontId="6" fillId="4" borderId="1" xfId="0" applyNumberFormat="1" applyFont="1" applyFill="1" applyBorder="1"/>
    <xf numFmtId="9" fontId="6" fillId="4" borderId="1" xfId="0" applyNumberFormat="1" applyFont="1" applyFill="1" applyBorder="1"/>
    <xf numFmtId="0" fontId="0" fillId="5" borderId="1" xfId="0" applyFill="1" applyBorder="1"/>
    <xf numFmtId="0" fontId="0" fillId="6" borderId="1" xfId="0" applyFill="1" applyBorder="1"/>
    <xf numFmtId="9" fontId="0" fillId="5" borderId="0" xfId="0" applyNumberFormat="1" applyFill="1"/>
    <xf numFmtId="0" fontId="0" fillId="5" borderId="0" xfId="0" applyFill="1"/>
    <xf numFmtId="0" fontId="0" fillId="7" borderId="1" xfId="0" applyFill="1" applyBorder="1"/>
    <xf numFmtId="0" fontId="0" fillId="8" borderId="1" xfId="0" applyFill="1" applyBorder="1" applyAlignment="1">
      <alignment vertical="top" wrapText="1"/>
    </xf>
    <xf numFmtId="9" fontId="0" fillId="8" borderId="1" xfId="0" applyNumberForma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4" fillId="0" borderId="0" xfId="0" applyFont="1"/>
    <xf numFmtId="0" fontId="2" fillId="2" borderId="0" xfId="0" applyFont="1" applyFill="1"/>
    <xf numFmtId="0" fontId="0" fillId="0" borderId="0" xfId="0"/>
    <xf numFmtId="0" fontId="3" fillId="2" borderId="0" xfId="0" applyFont="1" applyFill="1"/>
    <xf numFmtId="0" fontId="5" fillId="2" borderId="0" xfId="0" applyFont="1" applyFill="1"/>
    <xf numFmtId="0" fontId="0" fillId="0" borderId="0" xfId="0" applyAlignment="1">
      <alignment wrapText="1"/>
    </xf>
    <xf numFmtId="0" fontId="4" fillId="3" borderId="0" xfId="0" applyFont="1" applyFill="1"/>
    <xf numFmtId="0" fontId="7" fillId="9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AFF"/>
      <rgbColor rgb="FFE2F0D9"/>
      <rgbColor rgb="FFFAFAF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r>
              <a:rPr lang="es-PE"/>
              <a:t>Diagrama Gantt referencial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708776864167324"/>
          <c:y val="0.21938159744685667"/>
          <c:w val="0.8334006680232191"/>
          <c:h val="0.68387802376727735"/>
        </c:manualLayout>
      </c:layout>
      <c:barChart>
        <c:barDir val="bar"/>
        <c:grouping val="stacked"/>
        <c:varyColors val="1"/>
        <c:ser>
          <c:idx val="0"/>
          <c:order val="0"/>
          <c:tx>
            <c:strRef>
              <c:f>PRESENTACION!$M$37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PRESENTACION!$L$38:$L$49</c:f>
              <c:strCache>
                <c:ptCount val="4"/>
                <c:pt idx="0">
                  <c:v>Levantamiento</c:v>
                </c:pt>
                <c:pt idx="1">
                  <c:v>Anteproyecto</c:v>
                </c:pt>
                <c:pt idx="2">
                  <c:v>Desarrollo de proyecto</c:v>
                </c:pt>
                <c:pt idx="3">
                  <c:v>Documentación técnica</c:v>
                </c:pt>
              </c:strCache>
            </c:strRef>
          </c:cat>
          <c:val>
            <c:numRef>
              <c:f>PRESENTACION!$M$38:$M$49</c:f>
              <c:numCache>
                <c:formatCode>General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10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3-4ACC-8326-7A03288C0AAB}"/>
            </c:ext>
          </c:extLst>
        </c:ser>
        <c:ser>
          <c:idx val="1"/>
          <c:order val="1"/>
          <c:tx>
            <c:strRef>
              <c:f>PRESENTACION!$N$37</c:f>
              <c:strCache>
                <c:ptCount val="1"/>
                <c:pt idx="0">
                  <c:v>Duración</c:v>
                </c:pt>
              </c:strCache>
            </c:strRef>
          </c:tx>
          <c:spPr>
            <a:solidFill>
              <a:srgbClr val="4BACC6"/>
            </a:solidFill>
            <a:ln>
              <a:solidFill>
                <a:srgbClr val="4BACC6"/>
              </a:solidFill>
              <a:prstDash val="solid"/>
            </a:ln>
          </c:spPr>
          <c:invertIfNegative val="1"/>
          <c:cat>
            <c:strRef>
              <c:f>PRESENTACION!$L$38:$L$49</c:f>
              <c:strCache>
                <c:ptCount val="4"/>
                <c:pt idx="0">
                  <c:v>Levantamiento</c:v>
                </c:pt>
                <c:pt idx="1">
                  <c:v>Anteproyecto</c:v>
                </c:pt>
                <c:pt idx="2">
                  <c:v>Desarrollo de proyecto</c:v>
                </c:pt>
                <c:pt idx="3">
                  <c:v>Documentación técnica</c:v>
                </c:pt>
              </c:strCache>
            </c:strRef>
          </c:cat>
          <c:val>
            <c:numRef>
              <c:f>PRESENTACION!$N$38:$N$49</c:f>
              <c:numCache>
                <c:formatCode>General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7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BACC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633-4ACC-8326-7A03288C0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s-PE"/>
                  <a:t>Días</a:t>
                </a:r>
              </a:p>
            </c:rich>
          </c:tx>
          <c:overlay val="1"/>
        </c:title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119191</xdr:colOff>
      <xdr:row>34</xdr:row>
      <xdr:rowOff>270980</xdr:rowOff>
    </xdr:from>
    <xdr:to>
      <xdr:col>8</xdr:col>
      <xdr:colOff>547051</xdr:colOff>
      <xdr:row>48</xdr:row>
      <xdr:rowOff>124284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showGridLines="0" workbookViewId="0"/>
  </sheetViews>
  <sheetFormatPr baseColWidth="10" defaultColWidth="8.7109375" defaultRowHeight="15" x14ac:dyDescent="0.25"/>
  <cols>
    <col min="1" max="1" width="38" customWidth="1"/>
    <col min="2" max="4" width="18" customWidth="1"/>
    <col min="5" max="5" width="24" customWidth="1"/>
    <col min="6" max="6" width="18" customWidth="1"/>
    <col min="7" max="7" width="26" customWidth="1"/>
    <col min="8" max="8" width="18" customWidth="1"/>
    <col min="9" max="9" width="16" customWidth="1"/>
    <col min="10" max="10" width="18" customWidth="1"/>
    <col min="11" max="11" width="20" customWidth="1"/>
    <col min="12" max="12" width="18" customWidth="1"/>
  </cols>
  <sheetData>
    <row r="1" spans="1:11" ht="16.149999999999999" customHeight="1" x14ac:dyDescent="0.25">
      <c r="A1" s="18" t="s">
        <v>0</v>
      </c>
      <c r="B1" s="19"/>
      <c r="C1" s="19"/>
      <c r="D1" s="19"/>
      <c r="E1" s="19"/>
      <c r="F1" s="19"/>
    </row>
    <row r="3" spans="1:11" ht="28.35" customHeight="1" x14ac:dyDescent="0.25">
      <c r="A3" s="1" t="s">
        <v>1</v>
      </c>
    </row>
    <row r="4" spans="1:11" ht="15" customHeight="1" x14ac:dyDescent="0.25">
      <c r="A4" s="1" t="s">
        <v>2</v>
      </c>
    </row>
    <row r="5" spans="1:11" ht="28.35" customHeight="1" x14ac:dyDescent="0.25">
      <c r="A5" s="1" t="s">
        <v>3</v>
      </c>
    </row>
    <row r="6" spans="1:11" ht="28.35" customHeight="1" x14ac:dyDescent="0.25">
      <c r="A6" s="1" t="s">
        <v>4</v>
      </c>
    </row>
    <row r="7" spans="1:11" ht="41.85" customHeight="1" x14ac:dyDescent="0.25">
      <c r="A7" s="1" t="s">
        <v>5</v>
      </c>
    </row>
    <row r="9" spans="1:11" ht="15" customHeight="1" x14ac:dyDescent="0.25">
      <c r="A9" s="20" t="s">
        <v>6</v>
      </c>
      <c r="B9" s="19"/>
      <c r="C9" s="19"/>
      <c r="D9" s="19"/>
      <c r="E9" s="19"/>
      <c r="F9" s="19"/>
    </row>
    <row r="11" spans="1:11" ht="15" customHeight="1" x14ac:dyDescent="0.25">
      <c r="A11" s="2" t="s">
        <v>7</v>
      </c>
      <c r="C11" s="2" t="s">
        <v>8</v>
      </c>
      <c r="E11" s="2" t="s">
        <v>9</v>
      </c>
      <c r="G11" s="2" t="s">
        <v>10</v>
      </c>
      <c r="I11" s="2" t="s">
        <v>11</v>
      </c>
      <c r="K11" s="2" t="s">
        <v>12</v>
      </c>
    </row>
    <row r="12" spans="1:11" ht="15" customHeight="1" x14ac:dyDescent="0.25">
      <c r="A12" t="s">
        <v>13</v>
      </c>
      <c r="C12" t="s">
        <v>14</v>
      </c>
      <c r="E12" t="s">
        <v>15</v>
      </c>
      <c r="G12" t="s">
        <v>16</v>
      </c>
      <c r="I12" t="s">
        <v>17</v>
      </c>
      <c r="K12" t="s">
        <v>18</v>
      </c>
    </row>
    <row r="13" spans="1:11" ht="15" customHeight="1" x14ac:dyDescent="0.25">
      <c r="A13" t="s">
        <v>19</v>
      </c>
      <c r="C13" t="s">
        <v>20</v>
      </c>
      <c r="E13" t="s">
        <v>21</v>
      </c>
      <c r="G13" t="s">
        <v>22</v>
      </c>
      <c r="I13" t="s">
        <v>23</v>
      </c>
      <c r="K13" t="s">
        <v>24</v>
      </c>
    </row>
    <row r="14" spans="1:11" ht="15" customHeight="1" x14ac:dyDescent="0.25">
      <c r="A14" t="s">
        <v>25</v>
      </c>
      <c r="C14" t="s">
        <v>26</v>
      </c>
      <c r="E14" t="s">
        <v>27</v>
      </c>
      <c r="G14" t="s">
        <v>28</v>
      </c>
      <c r="K14" t="s">
        <v>29</v>
      </c>
    </row>
    <row r="15" spans="1:11" ht="15" customHeight="1" x14ac:dyDescent="0.25">
      <c r="A15" t="s">
        <v>30</v>
      </c>
      <c r="C15" t="s">
        <v>31</v>
      </c>
      <c r="E15" t="s">
        <v>32</v>
      </c>
      <c r="G15" t="s">
        <v>33</v>
      </c>
      <c r="K15" t="s">
        <v>34</v>
      </c>
    </row>
    <row r="16" spans="1:11" ht="15" customHeight="1" x14ac:dyDescent="0.25">
      <c r="A16" t="s">
        <v>35</v>
      </c>
      <c r="E16" t="s">
        <v>36</v>
      </c>
      <c r="G16" t="s">
        <v>37</v>
      </c>
    </row>
    <row r="17" spans="1:7" ht="15" customHeight="1" x14ac:dyDescent="0.25">
      <c r="A17" t="s">
        <v>38</v>
      </c>
      <c r="E17" t="s">
        <v>39</v>
      </c>
      <c r="G17" t="s">
        <v>40</v>
      </c>
    </row>
    <row r="18" spans="1:7" ht="15" customHeight="1" x14ac:dyDescent="0.25">
      <c r="E18" t="s">
        <v>41</v>
      </c>
      <c r="G18" t="s">
        <v>42</v>
      </c>
    </row>
    <row r="19" spans="1:7" ht="15" customHeight="1" x14ac:dyDescent="0.25">
      <c r="E19" t="s">
        <v>43</v>
      </c>
    </row>
    <row r="20" spans="1:7" ht="15" customHeight="1" x14ac:dyDescent="0.25">
      <c r="E20" t="s">
        <v>44</v>
      </c>
    </row>
  </sheetData>
  <mergeCells count="2">
    <mergeCell ref="A1:F1"/>
    <mergeCell ref="A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showGridLines="0" workbookViewId="0"/>
  </sheetViews>
  <sheetFormatPr baseColWidth="10" defaultColWidth="8.7109375" defaultRowHeight="15" x14ac:dyDescent="0.25"/>
  <cols>
    <col min="1" max="1" width="20" customWidth="1"/>
    <col min="2" max="2" width="32" customWidth="1"/>
    <col min="3" max="3" width="28" customWidth="1"/>
    <col min="4" max="4" width="11" customWidth="1"/>
    <col min="5" max="5" width="10" customWidth="1"/>
    <col min="6" max="7" width="24" customWidth="1"/>
    <col min="8" max="8" width="20" customWidth="1"/>
    <col min="9" max="9" width="10" customWidth="1"/>
    <col min="10" max="10" width="14" customWidth="1"/>
    <col min="11" max="11" width="16" customWidth="1"/>
    <col min="12" max="12" width="14" hidden="1" customWidth="1"/>
  </cols>
  <sheetData>
    <row r="1" spans="1:12" ht="17.45" customHeight="1" x14ac:dyDescent="0.25">
      <c r="A1" s="21" t="s">
        <v>45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3" spans="1:12" ht="41.85" customHeight="1" x14ac:dyDescent="0.25">
      <c r="A3" s="2" t="s">
        <v>46</v>
      </c>
      <c r="B3" s="3" t="s">
        <v>47</v>
      </c>
      <c r="D3" s="2" t="s">
        <v>48</v>
      </c>
      <c r="E3" s="3" t="s">
        <v>49</v>
      </c>
      <c r="G3" s="2" t="s">
        <v>50</v>
      </c>
      <c r="H3" s="3" t="s">
        <v>13</v>
      </c>
      <c r="J3" s="2" t="s">
        <v>51</v>
      </c>
      <c r="K3" s="3" t="s">
        <v>20</v>
      </c>
    </row>
    <row r="5" spans="1:12" ht="55.15" customHeight="1" x14ac:dyDescent="0.25">
      <c r="A5" s="2" t="s">
        <v>52</v>
      </c>
      <c r="B5" s="3" t="s">
        <v>53</v>
      </c>
      <c r="D5" s="2" t="s">
        <v>54</v>
      </c>
      <c r="E5" s="3" t="s">
        <v>55</v>
      </c>
      <c r="G5" s="2" t="s">
        <v>56</v>
      </c>
      <c r="H5" s="3">
        <v>10000</v>
      </c>
      <c r="J5" s="2" t="s">
        <v>57</v>
      </c>
      <c r="K5" s="3" t="s">
        <v>58</v>
      </c>
    </row>
    <row r="8" spans="1:12" ht="28.35" customHeight="1" x14ac:dyDescent="0.25">
      <c r="A8" s="4" t="s">
        <v>59</v>
      </c>
      <c r="B8" s="4" t="s">
        <v>60</v>
      </c>
      <c r="C8" s="4" t="s">
        <v>61</v>
      </c>
      <c r="D8" s="4" t="s">
        <v>62</v>
      </c>
      <c r="E8" s="4" t="s">
        <v>63</v>
      </c>
      <c r="F8" s="4" t="s">
        <v>64</v>
      </c>
      <c r="G8" s="4" t="s">
        <v>65</v>
      </c>
      <c r="H8" s="4" t="s">
        <v>66</v>
      </c>
      <c r="I8" s="4" t="s">
        <v>67</v>
      </c>
      <c r="J8" s="4" t="s">
        <v>68</v>
      </c>
      <c r="K8" s="4" t="s">
        <v>69</v>
      </c>
      <c r="L8" s="4" t="s">
        <v>70</v>
      </c>
    </row>
    <row r="9" spans="1:12" ht="15" customHeight="1" x14ac:dyDescent="0.25">
      <c r="A9" s="5" t="s">
        <v>15</v>
      </c>
      <c r="B9" s="5" t="s">
        <v>71</v>
      </c>
      <c r="C9" s="5" t="s">
        <v>72</v>
      </c>
      <c r="D9" s="6">
        <v>3</v>
      </c>
      <c r="E9" s="5" t="s">
        <v>73</v>
      </c>
      <c r="F9" s="5" t="s">
        <v>74</v>
      </c>
      <c r="G9" s="5" t="s">
        <v>16</v>
      </c>
      <c r="H9" s="5" t="s">
        <v>18</v>
      </c>
      <c r="I9" s="7">
        <v>0.2</v>
      </c>
      <c r="J9" s="8">
        <f t="shared" ref="J9:J20" si="0">IF($H$5="","",$H$5*I9)</f>
        <v>2000</v>
      </c>
      <c r="K9" s="5" t="s">
        <v>17</v>
      </c>
      <c r="L9" s="9">
        <f>IF(K9="Sí",1,"")</f>
        <v>1</v>
      </c>
    </row>
    <row r="10" spans="1:12" ht="15" customHeight="1" x14ac:dyDescent="0.25">
      <c r="A10" s="5" t="s">
        <v>32</v>
      </c>
      <c r="B10" s="5" t="s">
        <v>75</v>
      </c>
      <c r="C10" s="5" t="s">
        <v>76</v>
      </c>
      <c r="D10" s="6">
        <v>7</v>
      </c>
      <c r="E10" s="5" t="s">
        <v>73</v>
      </c>
      <c r="F10" s="5" t="s">
        <v>77</v>
      </c>
      <c r="G10" s="5" t="s">
        <v>28</v>
      </c>
      <c r="H10" s="5" t="s">
        <v>24</v>
      </c>
      <c r="I10" s="7">
        <v>0.3</v>
      </c>
      <c r="J10" s="8">
        <f t="shared" si="0"/>
        <v>3000</v>
      </c>
      <c r="K10" s="5" t="s">
        <v>17</v>
      </c>
      <c r="L10" s="9">
        <f>IF(K10="Sí",MAX($L$9:L9)+1,"")</f>
        <v>2</v>
      </c>
    </row>
    <row r="11" spans="1:12" ht="15" customHeight="1" x14ac:dyDescent="0.25">
      <c r="A11" s="5" t="s">
        <v>36</v>
      </c>
      <c r="B11" s="5" t="s">
        <v>78</v>
      </c>
      <c r="C11" s="5" t="s">
        <v>79</v>
      </c>
      <c r="D11" s="6">
        <v>7</v>
      </c>
      <c r="E11" s="5" t="s">
        <v>73</v>
      </c>
      <c r="F11" s="5" t="s">
        <v>33</v>
      </c>
      <c r="G11" s="5" t="s">
        <v>37</v>
      </c>
      <c r="H11" s="5" t="s">
        <v>29</v>
      </c>
      <c r="I11" s="7">
        <v>0.3</v>
      </c>
      <c r="J11" s="8">
        <f t="shared" si="0"/>
        <v>3000</v>
      </c>
      <c r="K11" s="5" t="s">
        <v>17</v>
      </c>
      <c r="L11" s="9">
        <f>IF(K11="Sí",MAX($L$9:L10)+1,"")</f>
        <v>3</v>
      </c>
    </row>
    <row r="12" spans="1:12" ht="15" customHeight="1" x14ac:dyDescent="0.25">
      <c r="A12" s="5" t="s">
        <v>39</v>
      </c>
      <c r="B12" s="5" t="s">
        <v>80</v>
      </c>
      <c r="C12" s="5" t="s">
        <v>81</v>
      </c>
      <c r="D12" s="6">
        <v>5</v>
      </c>
      <c r="E12" s="5" t="s">
        <v>73</v>
      </c>
      <c r="F12" s="5" t="s">
        <v>40</v>
      </c>
      <c r="G12" s="5" t="s">
        <v>42</v>
      </c>
      <c r="H12" s="5" t="s">
        <v>29</v>
      </c>
      <c r="I12" s="7">
        <v>0.2</v>
      </c>
      <c r="J12" s="8">
        <f t="shared" si="0"/>
        <v>2000</v>
      </c>
      <c r="K12" s="5" t="s">
        <v>17</v>
      </c>
      <c r="L12" s="9">
        <f>IF(K12="Sí",MAX($L$9:L11)+1,"")</f>
        <v>4</v>
      </c>
    </row>
    <row r="13" spans="1:12" ht="15" customHeight="1" x14ac:dyDescent="0.25">
      <c r="A13" s="5"/>
      <c r="B13" s="5"/>
      <c r="C13" s="5"/>
      <c r="D13" s="6"/>
      <c r="E13" s="5" t="s">
        <v>73</v>
      </c>
      <c r="F13" s="5"/>
      <c r="G13" s="5"/>
      <c r="H13" s="5"/>
      <c r="I13" s="7"/>
      <c r="J13" s="8">
        <f t="shared" si="0"/>
        <v>0</v>
      </c>
      <c r="K13" s="5" t="s">
        <v>23</v>
      </c>
      <c r="L13" s="9" t="str">
        <f>IF(K13="Sí",MAX($L$9:L12)+1,"")</f>
        <v/>
      </c>
    </row>
    <row r="14" spans="1:12" ht="15" customHeight="1" x14ac:dyDescent="0.25">
      <c r="A14" s="5"/>
      <c r="B14" s="5"/>
      <c r="C14" s="5"/>
      <c r="D14" s="6"/>
      <c r="E14" s="5" t="s">
        <v>73</v>
      </c>
      <c r="F14" s="5"/>
      <c r="G14" s="5"/>
      <c r="H14" s="5"/>
      <c r="I14" s="7"/>
      <c r="J14" s="8">
        <f t="shared" si="0"/>
        <v>0</v>
      </c>
      <c r="K14" s="5" t="s">
        <v>23</v>
      </c>
      <c r="L14" s="9" t="str">
        <f>IF(K14="Sí",MAX($L$9:L13)+1,"")</f>
        <v/>
      </c>
    </row>
    <row r="15" spans="1:12" ht="15" customHeight="1" x14ac:dyDescent="0.25">
      <c r="A15" s="5"/>
      <c r="B15" s="5"/>
      <c r="C15" s="5"/>
      <c r="D15" s="6"/>
      <c r="E15" s="5" t="s">
        <v>73</v>
      </c>
      <c r="F15" s="5"/>
      <c r="G15" s="5"/>
      <c r="H15" s="5"/>
      <c r="I15" s="7"/>
      <c r="J15" s="8">
        <f t="shared" si="0"/>
        <v>0</v>
      </c>
      <c r="K15" s="5" t="s">
        <v>23</v>
      </c>
      <c r="L15" s="9" t="str">
        <f>IF(K15="Sí",MAX($L$9:L14)+1,"")</f>
        <v/>
      </c>
    </row>
    <row r="16" spans="1:12" ht="15" customHeight="1" x14ac:dyDescent="0.25">
      <c r="A16" s="5"/>
      <c r="B16" s="5"/>
      <c r="C16" s="5"/>
      <c r="D16" s="6"/>
      <c r="E16" s="5" t="s">
        <v>73</v>
      </c>
      <c r="F16" s="5"/>
      <c r="G16" s="5"/>
      <c r="H16" s="5"/>
      <c r="I16" s="7"/>
      <c r="J16" s="8">
        <f t="shared" si="0"/>
        <v>0</v>
      </c>
      <c r="K16" s="5" t="s">
        <v>23</v>
      </c>
      <c r="L16" s="9" t="str">
        <f>IF(K16="Sí",MAX($L$9:L15)+1,"")</f>
        <v/>
      </c>
    </row>
    <row r="17" spans="1:12" ht="15" customHeight="1" x14ac:dyDescent="0.25">
      <c r="A17" s="5"/>
      <c r="B17" s="5"/>
      <c r="C17" s="5"/>
      <c r="D17" s="6"/>
      <c r="E17" s="5" t="s">
        <v>73</v>
      </c>
      <c r="F17" s="5"/>
      <c r="G17" s="5"/>
      <c r="H17" s="5"/>
      <c r="I17" s="7"/>
      <c r="J17" s="8">
        <f t="shared" si="0"/>
        <v>0</v>
      </c>
      <c r="K17" s="5" t="s">
        <v>23</v>
      </c>
      <c r="L17" s="9" t="str">
        <f>IF(K17="Sí",MAX($L$9:L16)+1,"")</f>
        <v/>
      </c>
    </row>
    <row r="18" spans="1:12" ht="15" customHeight="1" x14ac:dyDescent="0.25">
      <c r="A18" s="5"/>
      <c r="B18" s="5"/>
      <c r="C18" s="5"/>
      <c r="D18" s="6"/>
      <c r="E18" s="5" t="s">
        <v>73</v>
      </c>
      <c r="F18" s="5"/>
      <c r="G18" s="5"/>
      <c r="H18" s="5"/>
      <c r="I18" s="7"/>
      <c r="J18" s="8">
        <f t="shared" si="0"/>
        <v>0</v>
      </c>
      <c r="K18" s="5" t="s">
        <v>23</v>
      </c>
      <c r="L18" s="9" t="str">
        <f>IF(K18="Sí",MAX($L$9:L17)+1,"")</f>
        <v/>
      </c>
    </row>
    <row r="19" spans="1:12" ht="15" customHeight="1" x14ac:dyDescent="0.25">
      <c r="A19" s="5"/>
      <c r="B19" s="5"/>
      <c r="C19" s="5"/>
      <c r="D19" s="6"/>
      <c r="E19" s="5" t="s">
        <v>73</v>
      </c>
      <c r="F19" s="5"/>
      <c r="G19" s="5"/>
      <c r="H19" s="5"/>
      <c r="I19" s="7"/>
      <c r="J19" s="8">
        <f t="shared" si="0"/>
        <v>0</v>
      </c>
      <c r="K19" s="5" t="s">
        <v>23</v>
      </c>
      <c r="L19" s="9" t="str">
        <f>IF(K19="Sí",MAX($L$9:L18)+1,"")</f>
        <v/>
      </c>
    </row>
    <row r="20" spans="1:12" ht="15" customHeight="1" x14ac:dyDescent="0.25">
      <c r="A20" s="5"/>
      <c r="B20" s="5"/>
      <c r="C20" s="5"/>
      <c r="D20" s="6"/>
      <c r="E20" s="5" t="s">
        <v>73</v>
      </c>
      <c r="F20" s="5"/>
      <c r="G20" s="5"/>
      <c r="H20" s="5"/>
      <c r="I20" s="7"/>
      <c r="J20" s="8">
        <f t="shared" si="0"/>
        <v>0</v>
      </c>
      <c r="K20" s="5" t="s">
        <v>23</v>
      </c>
      <c r="L20" s="9" t="str">
        <f>IF(K20="Sí",MAX($L$9:L19)+1,"")</f>
        <v/>
      </c>
    </row>
    <row r="22" spans="1:12" ht="15" customHeight="1" x14ac:dyDescent="0.25">
      <c r="H22" s="2" t="s">
        <v>82</v>
      </c>
      <c r="I22" s="10">
        <f>SUM(I9:I20)</f>
        <v>1</v>
      </c>
    </row>
    <row r="23" spans="1:12" ht="15" customHeight="1" x14ac:dyDescent="0.25">
      <c r="H23" s="2" t="s">
        <v>83</v>
      </c>
      <c r="I23" s="11">
        <f>SUM(J9:J20)</f>
        <v>10000</v>
      </c>
    </row>
    <row r="24" spans="1:12" ht="15" customHeight="1" x14ac:dyDescent="0.25">
      <c r="H24" s="2" t="s">
        <v>84</v>
      </c>
      <c r="I24" s="11">
        <f>SUMIF(E9:E20,"días",D9:D20)</f>
        <v>22</v>
      </c>
    </row>
  </sheetData>
  <mergeCells count="1">
    <mergeCell ref="A1:L1"/>
  </mergeCells>
  <dataValidations count="1">
    <dataValidation type="list" allowBlank="1" sqref="E9:E20" xr:uid="{00000000-0002-0000-0100-000006000000}">
      <formula1>"días,semanas"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100-000000000000}">
          <x14:formula1>
            <xm:f>'LISTAS + README'!$A$12:$A$17</xm:f>
          </x14:formula1>
          <x14:formula2>
            <xm:f>0</xm:f>
          </x14:formula2>
          <xm:sqref>H3</xm:sqref>
        </x14:dataValidation>
        <x14:dataValidation type="list" allowBlank="1" xr:uid="{00000000-0002-0000-0100-000001000000}">
          <x14:formula1>
            <xm:f>'LISTAS + README'!$C$12:$C$15</xm:f>
          </x14:formula1>
          <x14:formula2>
            <xm:f>0</xm:f>
          </x14:formula2>
          <xm:sqref>K3</xm:sqref>
        </x14:dataValidation>
        <x14:dataValidation type="list" allowBlank="1" xr:uid="{00000000-0002-0000-0100-000002000000}">
          <x14:formula1>
            <xm:f>'LISTAS + README'!$E$12:$E$20</xm:f>
          </x14:formula1>
          <x14:formula2>
            <xm:f>0</xm:f>
          </x14:formula2>
          <xm:sqref>A9:A20</xm:sqref>
        </x14:dataValidation>
        <x14:dataValidation type="list" allowBlank="1" xr:uid="{00000000-0002-0000-0100-000003000000}">
          <x14:formula1>
            <xm:f>'LISTAS + README'!$G$12:$G$18</xm:f>
          </x14:formula1>
          <x14:formula2>
            <xm:f>0</xm:f>
          </x14:formula2>
          <xm:sqref>G9:G20</xm:sqref>
        </x14:dataValidation>
        <x14:dataValidation type="list" allowBlank="1" xr:uid="{00000000-0002-0000-0100-000004000000}">
          <x14:formula1>
            <xm:f>'LISTAS + README'!$I$12:$I$13</xm:f>
          </x14:formula1>
          <x14:formula2>
            <xm:f>0</xm:f>
          </x14:formula2>
          <xm:sqref>K9:K20</xm:sqref>
        </x14:dataValidation>
        <x14:dataValidation type="list" allowBlank="1" xr:uid="{00000000-0002-0000-0100-000005000000}">
          <x14:formula1>
            <xm:f>'LISTAS + README'!$K$12:$K$15</xm:f>
          </x14:formula1>
          <x14:formula2>
            <xm:f>0</xm:f>
          </x14:formula2>
          <xm:sqref>H9:H20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9"/>
  <sheetViews>
    <sheetView showGridLines="0" tabSelected="1" zoomScale="55" zoomScaleNormal="55" workbookViewId="0">
      <selection activeCell="Q43" sqref="Q43"/>
    </sheetView>
  </sheetViews>
  <sheetFormatPr baseColWidth="10" defaultColWidth="8.7109375" defaultRowHeight="15" x14ac:dyDescent="0.25"/>
  <cols>
    <col min="1" max="1" width="18" customWidth="1"/>
    <col min="2" max="2" width="28" customWidth="1"/>
    <col min="3" max="3" width="24" customWidth="1"/>
    <col min="4" max="4" width="12" customWidth="1"/>
    <col min="5" max="5" width="18" customWidth="1"/>
    <col min="6" max="6" width="20" customWidth="1"/>
    <col min="7" max="7" width="18" customWidth="1"/>
    <col min="8" max="8" width="8" customWidth="1"/>
    <col min="9" max="9" width="14" customWidth="1"/>
    <col min="10" max="10" width="2" customWidth="1"/>
    <col min="12" max="14" width="13" customWidth="1"/>
  </cols>
  <sheetData>
    <row r="1" spans="1:10" ht="17.45" customHeight="1" x14ac:dyDescent="0.25">
      <c r="A1" s="21" t="s">
        <v>45</v>
      </c>
      <c r="B1" s="19"/>
      <c r="C1" s="19"/>
      <c r="D1" s="19"/>
      <c r="E1" s="19"/>
      <c r="F1" s="19"/>
      <c r="G1" s="19"/>
      <c r="H1" s="19"/>
      <c r="I1" s="19"/>
      <c r="J1" s="19"/>
    </row>
    <row r="3" spans="1:10" ht="15" customHeight="1" x14ac:dyDescent="0.25">
      <c r="A3" s="2" t="s">
        <v>46</v>
      </c>
      <c r="B3" s="12" t="str">
        <f>IF('CRONOGRAMA BASE'!B3="","",'CRONOGRAMA BASE'!B3)</f>
        <v>Cliente / empresa</v>
      </c>
      <c r="D3" s="2" t="s">
        <v>48</v>
      </c>
      <c r="E3" s="12" t="str">
        <f>IF('CRONOGRAMA BASE'!E3="","",'CRONOGRAMA BASE'!E3)</f>
        <v>Nombre del proyecto</v>
      </c>
      <c r="H3" s="2" t="s">
        <v>52</v>
      </c>
      <c r="I3" s="12" t="str">
        <f>IF('CRONOGRAMA BASE'!B5="","",'CRONOGRAMA BASE'!B5)</f>
        <v>CR-001</v>
      </c>
    </row>
    <row r="5" spans="1:10" ht="15" customHeight="1" x14ac:dyDescent="0.25">
      <c r="A5" s="2" t="s">
        <v>50</v>
      </c>
      <c r="B5" s="12" t="str">
        <f>IF('CRONOGRAMA BASE'!H3="","",'CRONOGRAMA BASE'!H3)</f>
        <v>Arquitectura interior</v>
      </c>
      <c r="D5" s="2" t="s">
        <v>51</v>
      </c>
      <c r="E5" s="12" t="str">
        <f>IF('CRONOGRAMA BASE'!K3="","",'CRONOGRAMA BASE'!K3)</f>
        <v>Intermedio</v>
      </c>
      <c r="H5" s="2" t="s">
        <v>85</v>
      </c>
      <c r="I5" s="12">
        <f>IF('CRONOGRAMA BASE'!H5="","",'CRONOGRAMA BASE'!H5)</f>
        <v>10000</v>
      </c>
    </row>
    <row r="7" spans="1:10" ht="15" customHeight="1" x14ac:dyDescent="0.25">
      <c r="A7" s="20" t="s">
        <v>86</v>
      </c>
      <c r="B7" s="19"/>
      <c r="C7" s="19"/>
      <c r="D7" s="19"/>
      <c r="E7" s="19"/>
      <c r="F7" s="19"/>
      <c r="G7" s="19"/>
      <c r="H7" s="19"/>
      <c r="I7" s="19"/>
      <c r="J7" s="19"/>
    </row>
    <row r="8" spans="1:10" ht="33.75" customHeight="1" x14ac:dyDescent="0.25">
      <c r="A8" s="22" t="s">
        <v>87</v>
      </c>
      <c r="B8" s="19"/>
      <c r="C8" s="19"/>
      <c r="D8" s="19"/>
      <c r="E8" s="19"/>
      <c r="F8" s="19"/>
      <c r="G8" s="19"/>
      <c r="H8" s="19"/>
      <c r="I8" s="19"/>
      <c r="J8" s="19"/>
    </row>
    <row r="9" spans="1:10" ht="15" customHeigh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</row>
    <row r="11" spans="1:10" ht="15" customHeight="1" x14ac:dyDescent="0.25">
      <c r="A11" s="4" t="s">
        <v>59</v>
      </c>
      <c r="B11" s="4" t="s">
        <v>60</v>
      </c>
      <c r="C11" s="4" t="s">
        <v>61</v>
      </c>
      <c r="D11" s="4" t="s">
        <v>62</v>
      </c>
      <c r="E11" s="4" t="s">
        <v>64</v>
      </c>
      <c r="F11" s="4" t="s">
        <v>65</v>
      </c>
      <c r="G11" s="4" t="s">
        <v>66</v>
      </c>
      <c r="H11" s="4" t="s">
        <v>88</v>
      </c>
      <c r="I11" s="4" t="s">
        <v>89</v>
      </c>
    </row>
    <row r="12" spans="1:10" ht="28.35" customHeight="1" x14ac:dyDescent="0.25">
      <c r="A12" s="13" t="str">
        <f>IFERROR(INDEX('CRONOGRAMA BASE'!$A$9:$A$20,MATCH(ROWS($A$12:A12),'CRONOGRAMA BASE'!$L$9:$L$20,0)),"")</f>
        <v>Levantamiento</v>
      </c>
      <c r="B12" s="13" t="str">
        <f>IFERROR(INDEX('CRONOGRAMA BASE'!$B$9:$B$20,MATCH(ROWS($A$12:A12),'CRONOGRAMA BASE'!$L$9:$L$20,0)),"")</f>
        <v>Recopilar información base y requerimientos</v>
      </c>
      <c r="C12" s="13" t="str">
        <f>IFERROR(INDEX('CRONOGRAMA BASE'!$C$9:$C$20,MATCH(ROWS($A$12:A12),'CRONOGRAMA BASE'!$L$9:$L$20,0)),"")</f>
        <v>Ficha inicial + levantamiento</v>
      </c>
      <c r="D12" s="13" t="str">
        <f>IFERROR(INDEX('CRONOGRAMA BASE'!$D$9:$D$20,MATCH(ROWS($A$12:A12),'CRONOGRAMA BASE'!$L$9:$L$20,0))&amp;" "&amp;INDEX('CRONOGRAMA BASE'!$E$9:$E$20,MATCH(ROWS($A$12:A12),'CRONOGRAMA BASE'!$L$9:$L$20,0)),"")</f>
        <v>3 días</v>
      </c>
      <c r="E12" s="13" t="str">
        <f>IFERROR(INDEX('CRONOGRAMA BASE'!$F$9:$F$20,MATCH(ROWS($A$12:A12),'CRONOGRAMA BASE'!$L$9:$L$20,0)),"")</f>
        <v>Adelanto / coordinación inicial</v>
      </c>
      <c r="F12" s="13" t="str">
        <f>IFERROR(INDEX('CRONOGRAMA BASE'!$G$9:$G$20,MATCH(ROWS($A$12:A12),'CRONOGRAMA BASE'!$L$9:$L$20,0)),"")</f>
        <v>Kick-off</v>
      </c>
      <c r="G12" s="13" t="str">
        <f>IFERROR(INDEX('CRONOGRAMA BASE'!$H$9:$H$20,MATCH(ROWS($A$12:A12),'CRONOGRAMA BASE'!$L$9:$L$20,0)),"")</f>
        <v>Contra inicio</v>
      </c>
      <c r="H12" s="14">
        <f>IFERROR(INDEX('CRONOGRAMA BASE'!$I$9:$I$20,MATCH(ROWS($A$12:A12),'CRONOGRAMA BASE'!$L$9:$L$20,0)),"")</f>
        <v>0.2</v>
      </c>
      <c r="I12" s="13">
        <f>IFERROR(INDEX('CRONOGRAMA BASE'!$J$9:$J$20,MATCH(ROWS($A$12:A12),'CRONOGRAMA BASE'!$L$9:$L$20,0)),"")</f>
        <v>2000</v>
      </c>
    </row>
    <row r="13" spans="1:10" ht="28.35" customHeight="1" x14ac:dyDescent="0.25">
      <c r="A13" s="15" t="str">
        <f>IFERROR(INDEX('CRONOGRAMA BASE'!$A$9:$A$20,MATCH(ROWS($A$12:A13),'CRONOGRAMA BASE'!$L$9:$L$20,0)),"")</f>
        <v>Anteproyecto</v>
      </c>
      <c r="B13" s="15" t="str">
        <f>IFERROR(INDEX('CRONOGRAMA BASE'!$B$9:$B$20,MATCH(ROWS($A$12:A13),'CRONOGRAMA BASE'!$L$9:$L$20,0)),"")</f>
        <v>Desarrollar propuesta general</v>
      </c>
      <c r="C13" s="15" t="str">
        <f>IFERROR(INDEX('CRONOGRAMA BASE'!$C$9:$C$20,MATCH(ROWS($A$12:A13),'CRONOGRAMA BASE'!$L$9:$L$20,0)),"")</f>
        <v>Layout + criterio de diseño</v>
      </c>
      <c r="D13" s="15" t="str">
        <f>IFERROR(INDEX('CRONOGRAMA BASE'!$D$9:$D$20,MATCH(ROWS($A$12:A13),'CRONOGRAMA BASE'!$L$9:$L$20,0))&amp;" "&amp;INDEX('CRONOGRAMA BASE'!$E$9:$E$20,MATCH(ROWS($A$12:A13),'CRONOGRAMA BASE'!$L$9:$L$20,0)),"")</f>
        <v>7 días</v>
      </c>
      <c r="E13" s="15" t="str">
        <f>IFERROR(INDEX('CRONOGRAMA BASE'!$F$9:$F$20,MATCH(ROWS($A$12:A13),'CRONOGRAMA BASE'!$L$9:$L$20,0)),"")</f>
        <v>Información base completa</v>
      </c>
      <c r="F13" s="15" t="str">
        <f>IFERROR(INDEX('CRONOGRAMA BASE'!$G$9:$G$20,MATCH(ROWS($A$12:A13),'CRONOGRAMA BASE'!$L$9:$L$20,0)),"")</f>
        <v>Aprobación de layout</v>
      </c>
      <c r="G13" s="15" t="str">
        <f>IFERROR(INDEX('CRONOGRAMA BASE'!$H$9:$H$20,MATCH(ROWS($A$12:A13),'CRONOGRAMA BASE'!$L$9:$L$20,0)),"")</f>
        <v>Contra aprobación de etapa</v>
      </c>
      <c r="H13" s="16">
        <f>IFERROR(INDEX('CRONOGRAMA BASE'!$I$9:$I$20,MATCH(ROWS($A$12:A13),'CRONOGRAMA BASE'!$L$9:$L$20,0)),"")</f>
        <v>0.3</v>
      </c>
      <c r="I13" s="15">
        <f>IFERROR(INDEX('CRONOGRAMA BASE'!$J$9:$J$20,MATCH(ROWS($A$12:A13),'CRONOGRAMA BASE'!$L$9:$L$20,0)),"")</f>
        <v>3000</v>
      </c>
    </row>
    <row r="14" spans="1:10" ht="28.35" customHeight="1" x14ac:dyDescent="0.25">
      <c r="A14" s="13" t="str">
        <f>IFERROR(INDEX('CRONOGRAMA BASE'!$A$9:$A$20,MATCH(ROWS($A$12:A14),'CRONOGRAMA BASE'!$L$9:$L$20,0)),"")</f>
        <v>Desarrollo de proyecto</v>
      </c>
      <c r="B14" s="13" t="str">
        <f>IFERROR(INDEX('CRONOGRAMA BASE'!$B$9:$B$20,MATCH(ROWS($A$12:A14),'CRONOGRAMA BASE'!$L$9:$L$20,0)),"")</f>
        <v>Desarrollar planos y decisiones principales</v>
      </c>
      <c r="C14" s="13" t="str">
        <f>IFERROR(INDEX('CRONOGRAMA BASE'!$C$9:$C$20,MATCH(ROWS($A$12:A14),'CRONOGRAMA BASE'!$L$9:$L$20,0)),"")</f>
        <v>Dossier de proyecto</v>
      </c>
      <c r="D14" s="13" t="str">
        <f>IFERROR(INDEX('CRONOGRAMA BASE'!$D$9:$D$20,MATCH(ROWS($A$12:A14),'CRONOGRAMA BASE'!$L$9:$L$20,0))&amp;" "&amp;INDEX('CRONOGRAMA BASE'!$E$9:$E$20,MATCH(ROWS($A$12:A14),'CRONOGRAMA BASE'!$L$9:$L$20,0)),"")</f>
        <v>7 días</v>
      </c>
      <c r="E14" s="13" t="str">
        <f>IFERROR(INDEX('CRONOGRAMA BASE'!$F$9:$F$20,MATCH(ROWS($A$12:A14),'CRONOGRAMA BASE'!$L$9:$L$20,0)),"")</f>
        <v>Aprobación de anteproyecto</v>
      </c>
      <c r="F14" s="13" t="str">
        <f>IFERROR(INDEX('CRONOGRAMA BASE'!$G$9:$G$20,MATCH(ROWS($A$12:A14),'CRONOGRAMA BASE'!$L$9:$L$20,0)),"")</f>
        <v>Entrega de dossier</v>
      </c>
      <c r="G14" s="13" t="str">
        <f>IFERROR(INDEX('CRONOGRAMA BASE'!$H$9:$H$20,MATCH(ROWS($A$12:A14),'CRONOGRAMA BASE'!$L$9:$L$20,0)),"")</f>
        <v>Contra entrega</v>
      </c>
      <c r="H14" s="14">
        <f>IFERROR(INDEX('CRONOGRAMA BASE'!$I$9:$I$20,MATCH(ROWS($A$12:A14),'CRONOGRAMA BASE'!$L$9:$L$20,0)),"")</f>
        <v>0.3</v>
      </c>
      <c r="I14" s="13">
        <f>IFERROR(INDEX('CRONOGRAMA BASE'!$J$9:$J$20,MATCH(ROWS($A$12:A14),'CRONOGRAMA BASE'!$L$9:$L$20,0)),"")</f>
        <v>3000</v>
      </c>
    </row>
    <row r="15" spans="1:10" ht="28.35" customHeight="1" x14ac:dyDescent="0.25">
      <c r="A15" s="15" t="str">
        <f>IFERROR(INDEX('CRONOGRAMA BASE'!$A$9:$A$20,MATCH(ROWS($A$12:A15),'CRONOGRAMA BASE'!$L$9:$L$20,0)),"")</f>
        <v>Documentación técnica</v>
      </c>
      <c r="B15" s="15" t="str">
        <f>IFERROR(INDEX('CRONOGRAMA BASE'!$B$9:$B$20,MATCH(ROWS($A$12:A15),'CRONOGRAMA BASE'!$L$9:$L$20,0)),"")</f>
        <v>Ordenar láminas y detalles finales</v>
      </c>
      <c r="C15" s="15" t="str">
        <f>IFERROR(INDEX('CRONOGRAMA BASE'!$C$9:$C$20,MATCH(ROWS($A$12:A15),'CRONOGRAMA BASE'!$L$9:$L$20,0)),"")</f>
        <v>Paquete técnico / PDF final</v>
      </c>
      <c r="D15" s="15" t="str">
        <f>IFERROR(INDEX('CRONOGRAMA BASE'!$D$9:$D$20,MATCH(ROWS($A$12:A15),'CRONOGRAMA BASE'!$L$9:$L$20,0))&amp;" "&amp;INDEX('CRONOGRAMA BASE'!$E$9:$E$20,MATCH(ROWS($A$12:A15),'CRONOGRAMA BASE'!$L$9:$L$20,0)),"")</f>
        <v>5 días</v>
      </c>
      <c r="E15" s="15" t="str">
        <f>IFERROR(INDEX('CRONOGRAMA BASE'!$F$9:$F$20,MATCH(ROWS($A$12:A15),'CRONOGRAMA BASE'!$L$9:$L$20,0)),"")</f>
        <v>Cierre de observaciones</v>
      </c>
      <c r="F15" s="15" t="str">
        <f>IFERROR(INDEX('CRONOGRAMA BASE'!$G$9:$G$20,MATCH(ROWS($A$12:A15),'CRONOGRAMA BASE'!$L$9:$L$20,0)),"")</f>
        <v>Entrega final</v>
      </c>
      <c r="G15" s="15" t="str">
        <f>IFERROR(INDEX('CRONOGRAMA BASE'!$H$9:$H$20,MATCH(ROWS($A$12:A15),'CRONOGRAMA BASE'!$L$9:$L$20,0)),"")</f>
        <v>Contra entrega</v>
      </c>
      <c r="H15" s="16">
        <f>IFERROR(INDEX('CRONOGRAMA BASE'!$I$9:$I$20,MATCH(ROWS($A$12:A15),'CRONOGRAMA BASE'!$L$9:$L$20,0)),"")</f>
        <v>0.2</v>
      </c>
      <c r="I15" s="15">
        <f>IFERROR(INDEX('CRONOGRAMA BASE'!$J$9:$J$20,MATCH(ROWS($A$12:A15),'CRONOGRAMA BASE'!$L$9:$L$20,0)),"")</f>
        <v>2000</v>
      </c>
    </row>
    <row r="16" spans="1:10" ht="15" customHeight="1" x14ac:dyDescent="0.25">
      <c r="A16" s="13" t="str">
        <f>IFERROR(INDEX('CRONOGRAMA BASE'!$A$9:$A$20,MATCH(ROWS($A$12:A16),'CRONOGRAMA BASE'!$L$9:$L$20,0)),"")</f>
        <v/>
      </c>
      <c r="B16" s="13" t="str">
        <f>IFERROR(INDEX('CRONOGRAMA BASE'!$B$9:$B$20,MATCH(ROWS($A$12:A16),'CRONOGRAMA BASE'!$L$9:$L$20,0)),"")</f>
        <v/>
      </c>
      <c r="C16" s="13" t="str">
        <f>IFERROR(INDEX('CRONOGRAMA BASE'!$C$9:$C$20,MATCH(ROWS($A$12:A16),'CRONOGRAMA BASE'!$L$9:$L$20,0)),"")</f>
        <v/>
      </c>
      <c r="D16" s="13" t="str">
        <f>IFERROR(INDEX('CRONOGRAMA BASE'!$D$9:$D$20,MATCH(ROWS($A$12:A16),'CRONOGRAMA BASE'!$L$9:$L$20,0))&amp;" "&amp;INDEX('CRONOGRAMA BASE'!$E$9:$E$20,MATCH(ROWS($A$12:A16),'CRONOGRAMA BASE'!$L$9:$L$20,0)),"")</f>
        <v/>
      </c>
      <c r="E16" s="13" t="str">
        <f>IFERROR(INDEX('CRONOGRAMA BASE'!$F$9:$F$20,MATCH(ROWS($A$12:A16),'CRONOGRAMA BASE'!$L$9:$L$20,0)),"")</f>
        <v/>
      </c>
      <c r="F16" s="13" t="str">
        <f>IFERROR(INDEX('CRONOGRAMA BASE'!$G$9:$G$20,MATCH(ROWS($A$12:A16),'CRONOGRAMA BASE'!$L$9:$L$20,0)),"")</f>
        <v/>
      </c>
      <c r="G16" s="13" t="str">
        <f>IFERROR(INDEX('CRONOGRAMA BASE'!$H$9:$H$20,MATCH(ROWS($A$12:A16),'CRONOGRAMA BASE'!$L$9:$L$20,0)),"")</f>
        <v/>
      </c>
      <c r="H16" s="14" t="str">
        <f>IFERROR(INDEX('CRONOGRAMA BASE'!$I$9:$I$20,MATCH(ROWS($A$12:A16),'CRONOGRAMA BASE'!$L$9:$L$20,0)),"")</f>
        <v/>
      </c>
      <c r="I16" s="13" t="str">
        <f>IFERROR(INDEX('CRONOGRAMA BASE'!$J$9:$J$20,MATCH(ROWS($A$12:A16),'CRONOGRAMA BASE'!$L$9:$L$20,0)),"")</f>
        <v/>
      </c>
    </row>
    <row r="17" spans="1:9" ht="15" customHeight="1" x14ac:dyDescent="0.25">
      <c r="A17" s="15" t="str">
        <f>IFERROR(INDEX('CRONOGRAMA BASE'!$A$9:$A$20,MATCH(ROWS($A$12:A17),'CRONOGRAMA BASE'!$L$9:$L$20,0)),"")</f>
        <v/>
      </c>
      <c r="B17" s="15" t="str">
        <f>IFERROR(INDEX('CRONOGRAMA BASE'!$B$9:$B$20,MATCH(ROWS($A$12:A17),'CRONOGRAMA BASE'!$L$9:$L$20,0)),"")</f>
        <v/>
      </c>
      <c r="C17" s="15" t="str">
        <f>IFERROR(INDEX('CRONOGRAMA BASE'!$C$9:$C$20,MATCH(ROWS($A$12:A17),'CRONOGRAMA BASE'!$L$9:$L$20,0)),"")</f>
        <v/>
      </c>
      <c r="D17" s="15" t="str">
        <f>IFERROR(INDEX('CRONOGRAMA BASE'!$D$9:$D$20,MATCH(ROWS($A$12:A17),'CRONOGRAMA BASE'!$L$9:$L$20,0))&amp;" "&amp;INDEX('CRONOGRAMA BASE'!$E$9:$E$20,MATCH(ROWS($A$12:A17),'CRONOGRAMA BASE'!$L$9:$L$20,0)),"")</f>
        <v/>
      </c>
      <c r="E17" s="15" t="str">
        <f>IFERROR(INDEX('CRONOGRAMA BASE'!$F$9:$F$20,MATCH(ROWS($A$12:A17),'CRONOGRAMA BASE'!$L$9:$L$20,0)),"")</f>
        <v/>
      </c>
      <c r="F17" s="15" t="str">
        <f>IFERROR(INDEX('CRONOGRAMA BASE'!$G$9:$G$20,MATCH(ROWS($A$12:A17),'CRONOGRAMA BASE'!$L$9:$L$20,0)),"")</f>
        <v/>
      </c>
      <c r="G17" s="15" t="str">
        <f>IFERROR(INDEX('CRONOGRAMA BASE'!$H$9:$H$20,MATCH(ROWS($A$12:A17),'CRONOGRAMA BASE'!$L$9:$L$20,0)),"")</f>
        <v/>
      </c>
      <c r="H17" s="16" t="str">
        <f>IFERROR(INDEX('CRONOGRAMA BASE'!$I$9:$I$20,MATCH(ROWS($A$12:A17),'CRONOGRAMA BASE'!$L$9:$L$20,0)),"")</f>
        <v/>
      </c>
      <c r="I17" s="15" t="str">
        <f>IFERROR(INDEX('CRONOGRAMA BASE'!$J$9:$J$20,MATCH(ROWS($A$12:A17),'CRONOGRAMA BASE'!$L$9:$L$20,0)),"")</f>
        <v/>
      </c>
    </row>
    <row r="18" spans="1:9" ht="15" customHeight="1" x14ac:dyDescent="0.25">
      <c r="A18" s="13" t="str">
        <f>IFERROR(INDEX('CRONOGRAMA BASE'!$A$9:$A$20,MATCH(ROWS($A$12:A18),'CRONOGRAMA BASE'!$L$9:$L$20,0)),"")</f>
        <v/>
      </c>
      <c r="B18" s="13" t="str">
        <f>IFERROR(INDEX('CRONOGRAMA BASE'!$B$9:$B$20,MATCH(ROWS($A$12:A18),'CRONOGRAMA BASE'!$L$9:$L$20,0)),"")</f>
        <v/>
      </c>
      <c r="C18" s="13" t="str">
        <f>IFERROR(INDEX('CRONOGRAMA BASE'!$C$9:$C$20,MATCH(ROWS($A$12:A18),'CRONOGRAMA BASE'!$L$9:$L$20,0)),"")</f>
        <v/>
      </c>
      <c r="D18" s="13" t="str">
        <f>IFERROR(INDEX('CRONOGRAMA BASE'!$D$9:$D$20,MATCH(ROWS($A$12:A18),'CRONOGRAMA BASE'!$L$9:$L$20,0))&amp;" "&amp;INDEX('CRONOGRAMA BASE'!$E$9:$E$20,MATCH(ROWS($A$12:A18),'CRONOGRAMA BASE'!$L$9:$L$20,0)),"")</f>
        <v/>
      </c>
      <c r="E18" s="13" t="str">
        <f>IFERROR(INDEX('CRONOGRAMA BASE'!$F$9:$F$20,MATCH(ROWS($A$12:A18),'CRONOGRAMA BASE'!$L$9:$L$20,0)),"")</f>
        <v/>
      </c>
      <c r="F18" s="13" t="str">
        <f>IFERROR(INDEX('CRONOGRAMA BASE'!$G$9:$G$20,MATCH(ROWS($A$12:A18),'CRONOGRAMA BASE'!$L$9:$L$20,0)),"")</f>
        <v/>
      </c>
      <c r="G18" s="13" t="str">
        <f>IFERROR(INDEX('CRONOGRAMA BASE'!$H$9:$H$20,MATCH(ROWS($A$12:A18),'CRONOGRAMA BASE'!$L$9:$L$20,0)),"")</f>
        <v/>
      </c>
      <c r="H18" s="14" t="str">
        <f>IFERROR(INDEX('CRONOGRAMA BASE'!$I$9:$I$20,MATCH(ROWS($A$12:A18),'CRONOGRAMA BASE'!$L$9:$L$20,0)),"")</f>
        <v/>
      </c>
      <c r="I18" s="13" t="str">
        <f>IFERROR(INDEX('CRONOGRAMA BASE'!$J$9:$J$20,MATCH(ROWS($A$12:A18),'CRONOGRAMA BASE'!$L$9:$L$20,0)),"")</f>
        <v/>
      </c>
    </row>
    <row r="19" spans="1:9" ht="15" customHeight="1" x14ac:dyDescent="0.25">
      <c r="A19" s="15" t="str">
        <f>IFERROR(INDEX('CRONOGRAMA BASE'!$A$9:$A$20,MATCH(ROWS($A$12:A19),'CRONOGRAMA BASE'!$L$9:$L$20,0)),"")</f>
        <v/>
      </c>
      <c r="B19" s="15" t="str">
        <f>IFERROR(INDEX('CRONOGRAMA BASE'!$B$9:$B$20,MATCH(ROWS($A$12:A19),'CRONOGRAMA BASE'!$L$9:$L$20,0)),"")</f>
        <v/>
      </c>
      <c r="C19" s="15" t="str">
        <f>IFERROR(INDEX('CRONOGRAMA BASE'!$C$9:$C$20,MATCH(ROWS($A$12:A19),'CRONOGRAMA BASE'!$L$9:$L$20,0)),"")</f>
        <v/>
      </c>
      <c r="D19" s="15" t="str">
        <f>IFERROR(INDEX('CRONOGRAMA BASE'!$D$9:$D$20,MATCH(ROWS($A$12:A19),'CRONOGRAMA BASE'!$L$9:$L$20,0))&amp;" "&amp;INDEX('CRONOGRAMA BASE'!$E$9:$E$20,MATCH(ROWS($A$12:A19),'CRONOGRAMA BASE'!$L$9:$L$20,0)),"")</f>
        <v/>
      </c>
      <c r="E19" s="15" t="str">
        <f>IFERROR(INDEX('CRONOGRAMA BASE'!$F$9:$F$20,MATCH(ROWS($A$12:A19),'CRONOGRAMA BASE'!$L$9:$L$20,0)),"")</f>
        <v/>
      </c>
      <c r="F19" s="15" t="str">
        <f>IFERROR(INDEX('CRONOGRAMA BASE'!$G$9:$G$20,MATCH(ROWS($A$12:A19),'CRONOGRAMA BASE'!$L$9:$L$20,0)),"")</f>
        <v/>
      </c>
      <c r="G19" s="15" t="str">
        <f>IFERROR(INDEX('CRONOGRAMA BASE'!$H$9:$H$20,MATCH(ROWS($A$12:A19),'CRONOGRAMA BASE'!$L$9:$L$20,0)),"")</f>
        <v/>
      </c>
      <c r="H19" s="16" t="str">
        <f>IFERROR(INDEX('CRONOGRAMA BASE'!$I$9:$I$20,MATCH(ROWS($A$12:A19),'CRONOGRAMA BASE'!$L$9:$L$20,0)),"")</f>
        <v/>
      </c>
      <c r="I19" s="15" t="str">
        <f>IFERROR(INDEX('CRONOGRAMA BASE'!$J$9:$J$20,MATCH(ROWS($A$12:A19),'CRONOGRAMA BASE'!$L$9:$L$20,0)),"")</f>
        <v/>
      </c>
    </row>
    <row r="20" spans="1:9" ht="15" customHeight="1" x14ac:dyDescent="0.25">
      <c r="A20" s="13" t="str">
        <f>IFERROR(INDEX('CRONOGRAMA BASE'!$A$9:$A$20,MATCH(ROWS($A$12:A20),'CRONOGRAMA BASE'!$L$9:$L$20,0)),"")</f>
        <v/>
      </c>
      <c r="B20" s="13" t="str">
        <f>IFERROR(INDEX('CRONOGRAMA BASE'!$B$9:$B$20,MATCH(ROWS($A$12:A20),'CRONOGRAMA BASE'!$L$9:$L$20,0)),"")</f>
        <v/>
      </c>
      <c r="C20" s="13" t="str">
        <f>IFERROR(INDEX('CRONOGRAMA BASE'!$C$9:$C$20,MATCH(ROWS($A$12:A20),'CRONOGRAMA BASE'!$L$9:$L$20,0)),"")</f>
        <v/>
      </c>
      <c r="D20" s="13" t="str">
        <f>IFERROR(INDEX('CRONOGRAMA BASE'!$D$9:$D$20,MATCH(ROWS($A$12:A20),'CRONOGRAMA BASE'!$L$9:$L$20,0))&amp;" "&amp;INDEX('CRONOGRAMA BASE'!$E$9:$E$20,MATCH(ROWS($A$12:A20),'CRONOGRAMA BASE'!$L$9:$L$20,0)),"")</f>
        <v/>
      </c>
      <c r="E20" s="13" t="str">
        <f>IFERROR(INDEX('CRONOGRAMA BASE'!$F$9:$F$20,MATCH(ROWS($A$12:A20),'CRONOGRAMA BASE'!$L$9:$L$20,0)),"")</f>
        <v/>
      </c>
      <c r="F20" s="13" t="str">
        <f>IFERROR(INDEX('CRONOGRAMA BASE'!$G$9:$G$20,MATCH(ROWS($A$12:A20),'CRONOGRAMA BASE'!$L$9:$L$20,0)),"")</f>
        <v/>
      </c>
      <c r="G20" s="13" t="str">
        <f>IFERROR(INDEX('CRONOGRAMA BASE'!$H$9:$H$20,MATCH(ROWS($A$12:A20),'CRONOGRAMA BASE'!$L$9:$L$20,0)),"")</f>
        <v/>
      </c>
      <c r="H20" s="14" t="str">
        <f>IFERROR(INDEX('CRONOGRAMA BASE'!$I$9:$I$20,MATCH(ROWS($A$12:A20),'CRONOGRAMA BASE'!$L$9:$L$20,0)),"")</f>
        <v/>
      </c>
      <c r="I20" s="13" t="str">
        <f>IFERROR(INDEX('CRONOGRAMA BASE'!$J$9:$J$20,MATCH(ROWS($A$12:A20),'CRONOGRAMA BASE'!$L$9:$L$20,0)),"")</f>
        <v/>
      </c>
    </row>
    <row r="21" spans="1:9" ht="15" customHeight="1" x14ac:dyDescent="0.25">
      <c r="A21" s="15" t="str">
        <f>IFERROR(INDEX('CRONOGRAMA BASE'!$A$9:$A$20,MATCH(ROWS($A$12:A21),'CRONOGRAMA BASE'!$L$9:$L$20,0)),"")</f>
        <v/>
      </c>
      <c r="B21" s="15" t="str">
        <f>IFERROR(INDEX('CRONOGRAMA BASE'!$B$9:$B$20,MATCH(ROWS($A$12:A21),'CRONOGRAMA BASE'!$L$9:$L$20,0)),"")</f>
        <v/>
      </c>
      <c r="C21" s="15" t="str">
        <f>IFERROR(INDEX('CRONOGRAMA BASE'!$C$9:$C$20,MATCH(ROWS($A$12:A21),'CRONOGRAMA BASE'!$L$9:$L$20,0)),"")</f>
        <v/>
      </c>
      <c r="D21" s="15" t="str">
        <f>IFERROR(INDEX('CRONOGRAMA BASE'!$D$9:$D$20,MATCH(ROWS($A$12:A21),'CRONOGRAMA BASE'!$L$9:$L$20,0))&amp;" "&amp;INDEX('CRONOGRAMA BASE'!$E$9:$E$20,MATCH(ROWS($A$12:A21),'CRONOGRAMA BASE'!$L$9:$L$20,0)),"")</f>
        <v/>
      </c>
      <c r="E21" s="15" t="str">
        <f>IFERROR(INDEX('CRONOGRAMA BASE'!$F$9:$F$20,MATCH(ROWS($A$12:A21),'CRONOGRAMA BASE'!$L$9:$L$20,0)),"")</f>
        <v/>
      </c>
      <c r="F21" s="15" t="str">
        <f>IFERROR(INDEX('CRONOGRAMA BASE'!$G$9:$G$20,MATCH(ROWS($A$12:A21),'CRONOGRAMA BASE'!$L$9:$L$20,0)),"")</f>
        <v/>
      </c>
      <c r="G21" s="15" t="str">
        <f>IFERROR(INDEX('CRONOGRAMA BASE'!$H$9:$H$20,MATCH(ROWS($A$12:A21),'CRONOGRAMA BASE'!$L$9:$L$20,0)),"")</f>
        <v/>
      </c>
      <c r="H21" s="16" t="str">
        <f>IFERROR(INDEX('CRONOGRAMA BASE'!$I$9:$I$20,MATCH(ROWS($A$12:A21),'CRONOGRAMA BASE'!$L$9:$L$20,0)),"")</f>
        <v/>
      </c>
      <c r="I21" s="15" t="str">
        <f>IFERROR(INDEX('CRONOGRAMA BASE'!$J$9:$J$20,MATCH(ROWS($A$12:A21),'CRONOGRAMA BASE'!$L$9:$L$20,0)),"")</f>
        <v/>
      </c>
    </row>
    <row r="22" spans="1:9" ht="15" customHeight="1" x14ac:dyDescent="0.25">
      <c r="A22" s="13" t="str">
        <f>IFERROR(INDEX('CRONOGRAMA BASE'!$A$9:$A$20,MATCH(ROWS($A$12:A22),'CRONOGRAMA BASE'!$L$9:$L$20,0)),"")</f>
        <v/>
      </c>
      <c r="B22" s="13" t="str">
        <f>IFERROR(INDEX('CRONOGRAMA BASE'!$B$9:$B$20,MATCH(ROWS($A$12:A22),'CRONOGRAMA BASE'!$L$9:$L$20,0)),"")</f>
        <v/>
      </c>
      <c r="C22" s="13" t="str">
        <f>IFERROR(INDEX('CRONOGRAMA BASE'!$C$9:$C$20,MATCH(ROWS($A$12:A22),'CRONOGRAMA BASE'!$L$9:$L$20,0)),"")</f>
        <v/>
      </c>
      <c r="D22" s="13" t="str">
        <f>IFERROR(INDEX('CRONOGRAMA BASE'!$D$9:$D$20,MATCH(ROWS($A$12:A22),'CRONOGRAMA BASE'!$L$9:$L$20,0))&amp;" "&amp;INDEX('CRONOGRAMA BASE'!$E$9:$E$20,MATCH(ROWS($A$12:A22),'CRONOGRAMA BASE'!$L$9:$L$20,0)),"")</f>
        <v/>
      </c>
      <c r="E22" s="13" t="str">
        <f>IFERROR(INDEX('CRONOGRAMA BASE'!$F$9:$F$20,MATCH(ROWS($A$12:A22),'CRONOGRAMA BASE'!$L$9:$L$20,0)),"")</f>
        <v/>
      </c>
      <c r="F22" s="13" t="str">
        <f>IFERROR(INDEX('CRONOGRAMA BASE'!$G$9:$G$20,MATCH(ROWS($A$12:A22),'CRONOGRAMA BASE'!$L$9:$L$20,0)),"")</f>
        <v/>
      </c>
      <c r="G22" s="13" t="str">
        <f>IFERROR(INDEX('CRONOGRAMA BASE'!$H$9:$H$20,MATCH(ROWS($A$12:A22),'CRONOGRAMA BASE'!$L$9:$L$20,0)),"")</f>
        <v/>
      </c>
      <c r="H22" s="14" t="str">
        <f>IFERROR(INDEX('CRONOGRAMA BASE'!$I$9:$I$20,MATCH(ROWS($A$12:A22),'CRONOGRAMA BASE'!$L$9:$L$20,0)),"")</f>
        <v/>
      </c>
      <c r="I22" s="13" t="str">
        <f>IFERROR(INDEX('CRONOGRAMA BASE'!$J$9:$J$20,MATCH(ROWS($A$12:A22),'CRONOGRAMA BASE'!$L$9:$L$20,0)),"")</f>
        <v/>
      </c>
    </row>
    <row r="23" spans="1:9" ht="15" customHeight="1" x14ac:dyDescent="0.25">
      <c r="A23" s="15" t="str">
        <f>IFERROR(INDEX('CRONOGRAMA BASE'!$A$9:$A$20,MATCH(ROWS($A$12:A23),'CRONOGRAMA BASE'!$L$9:$L$20,0)),"")</f>
        <v/>
      </c>
      <c r="B23" s="15" t="str">
        <f>IFERROR(INDEX('CRONOGRAMA BASE'!$B$9:$B$20,MATCH(ROWS($A$12:A23),'CRONOGRAMA BASE'!$L$9:$L$20,0)),"")</f>
        <v/>
      </c>
      <c r="C23" s="15" t="str">
        <f>IFERROR(INDEX('CRONOGRAMA BASE'!$C$9:$C$20,MATCH(ROWS($A$12:A23),'CRONOGRAMA BASE'!$L$9:$L$20,0)),"")</f>
        <v/>
      </c>
      <c r="D23" s="15" t="str">
        <f>IFERROR(INDEX('CRONOGRAMA BASE'!$D$9:$D$20,MATCH(ROWS($A$12:A23),'CRONOGRAMA BASE'!$L$9:$L$20,0))&amp;" "&amp;INDEX('CRONOGRAMA BASE'!$E$9:$E$20,MATCH(ROWS($A$12:A23),'CRONOGRAMA BASE'!$L$9:$L$20,0)),"")</f>
        <v/>
      </c>
      <c r="E23" s="15" t="str">
        <f>IFERROR(INDEX('CRONOGRAMA BASE'!$F$9:$F$20,MATCH(ROWS($A$12:A23),'CRONOGRAMA BASE'!$L$9:$L$20,0)),"")</f>
        <v/>
      </c>
      <c r="F23" s="15" t="str">
        <f>IFERROR(INDEX('CRONOGRAMA BASE'!$G$9:$G$20,MATCH(ROWS($A$12:A23),'CRONOGRAMA BASE'!$L$9:$L$20,0)),"")</f>
        <v/>
      </c>
      <c r="G23" s="15" t="str">
        <f>IFERROR(INDEX('CRONOGRAMA BASE'!$H$9:$H$20,MATCH(ROWS($A$12:A23),'CRONOGRAMA BASE'!$L$9:$L$20,0)),"")</f>
        <v/>
      </c>
      <c r="H23" s="16" t="str">
        <f>IFERROR(INDEX('CRONOGRAMA BASE'!$I$9:$I$20,MATCH(ROWS($A$12:A23),'CRONOGRAMA BASE'!$L$9:$L$20,0)),"")</f>
        <v/>
      </c>
      <c r="I23" s="15" t="str">
        <f>IFERROR(INDEX('CRONOGRAMA BASE'!$J$9:$J$20,MATCH(ROWS($A$12:A23),'CRONOGRAMA BASE'!$L$9:$L$20,0)),"")</f>
        <v/>
      </c>
    </row>
    <row r="26" spans="1:9" ht="15" customHeight="1" x14ac:dyDescent="0.25">
      <c r="A26" s="23" t="s">
        <v>90</v>
      </c>
      <c r="B26" s="19"/>
      <c r="C26" s="22" t="str">
        <f>IF('CRONOGRAMA BASE'!K5="","",'CRONOGRAMA BASE'!K5)</f>
        <v>Ajusta tiempos, hitos y porcentajes según el encargo.</v>
      </c>
      <c r="D26" s="19"/>
      <c r="E26" s="19"/>
      <c r="F26" s="19"/>
      <c r="G26" s="19"/>
      <c r="H26" s="19"/>
      <c r="I26" s="19"/>
    </row>
    <row r="28" spans="1:9" ht="15" customHeight="1" x14ac:dyDescent="0.25">
      <c r="A28" s="17" t="s">
        <v>91</v>
      </c>
    </row>
    <row r="29" spans="1:9" ht="15" customHeight="1" x14ac:dyDescent="0.25">
      <c r="A29" s="22" t="s">
        <v>92</v>
      </c>
      <c r="B29" s="19"/>
      <c r="C29" s="19"/>
      <c r="D29" s="19"/>
      <c r="E29" s="19"/>
      <c r="F29" s="19"/>
      <c r="G29" s="19"/>
      <c r="H29" s="19"/>
      <c r="I29" s="19"/>
    </row>
    <row r="30" spans="1:9" ht="15" customHeight="1" x14ac:dyDescent="0.25">
      <c r="A30" s="22" t="s">
        <v>93</v>
      </c>
      <c r="B30" s="19"/>
      <c r="C30" s="19"/>
      <c r="D30" s="19"/>
      <c r="E30" s="19"/>
      <c r="F30" s="19"/>
      <c r="G30" s="19"/>
      <c r="H30" s="19"/>
      <c r="I30" s="19"/>
    </row>
    <row r="31" spans="1:9" ht="15" customHeight="1" x14ac:dyDescent="0.25">
      <c r="A31" s="22" t="s">
        <v>94</v>
      </c>
      <c r="B31" s="19"/>
      <c r="C31" s="19"/>
      <c r="D31" s="19"/>
      <c r="E31" s="19"/>
      <c r="F31" s="19"/>
      <c r="G31" s="19"/>
      <c r="H31" s="19"/>
      <c r="I31" s="19"/>
    </row>
    <row r="34" spans="1:14" ht="20.100000000000001" customHeight="1" x14ac:dyDescent="0.25">
      <c r="A34" s="24" t="s">
        <v>95</v>
      </c>
      <c r="B34" s="19"/>
      <c r="C34" s="19"/>
      <c r="D34" s="19"/>
      <c r="E34" s="19"/>
      <c r="F34" s="19"/>
      <c r="G34" s="19"/>
      <c r="H34" s="19"/>
      <c r="I34" s="19"/>
    </row>
    <row r="35" spans="1:14" ht="24" customHeight="1" x14ac:dyDescent="0.25">
      <c r="A35" s="25" t="s">
        <v>96</v>
      </c>
      <c r="B35" s="19"/>
      <c r="C35" s="19"/>
      <c r="D35" s="19"/>
      <c r="E35" s="19"/>
      <c r="F35" s="19"/>
      <c r="G35" s="19"/>
      <c r="H35" s="19"/>
      <c r="I35" s="19"/>
    </row>
    <row r="37" spans="1:14" x14ac:dyDescent="0.25">
      <c r="L37" t="s">
        <v>59</v>
      </c>
      <c r="M37" t="s">
        <v>97</v>
      </c>
      <c r="N37" t="s">
        <v>62</v>
      </c>
    </row>
    <row r="38" spans="1:14" x14ac:dyDescent="0.25">
      <c r="L38" t="str">
        <f t="shared" ref="L38:L49" si="0">IF(A12="","",A12)</f>
        <v>Levantamiento</v>
      </c>
      <c r="M38">
        <f>IF(L38="","",0)</f>
        <v>0</v>
      </c>
      <c r="N38">
        <f>IF(L38="","",IFERROR(INDEX('CRONOGRAMA BASE'!$D$9:$D$20,MATCH(ROWS($L$38:L38),'CRONOGRAMA BASE'!$L$9:$L$20,0)),""))</f>
        <v>3</v>
      </c>
    </row>
    <row r="39" spans="1:14" x14ac:dyDescent="0.25">
      <c r="L39" t="str">
        <f t="shared" si="0"/>
        <v>Anteproyecto</v>
      </c>
      <c r="M39">
        <f t="shared" ref="M39:M49" si="1">IF(L39="","",M38+N38)</f>
        <v>3</v>
      </c>
      <c r="N39">
        <f>IF(L39="","",IFERROR(INDEX('CRONOGRAMA BASE'!$D$9:$D$20,MATCH(ROWS($L$38:L39),'CRONOGRAMA BASE'!$L$9:$L$20,0)),""))</f>
        <v>7</v>
      </c>
    </row>
    <row r="40" spans="1:14" x14ac:dyDescent="0.25">
      <c r="L40" t="str">
        <f t="shared" si="0"/>
        <v>Desarrollo de proyecto</v>
      </c>
      <c r="M40">
        <f t="shared" si="1"/>
        <v>10</v>
      </c>
      <c r="N40">
        <f>IF(L40="","",IFERROR(INDEX('CRONOGRAMA BASE'!$D$9:$D$20,MATCH(ROWS($L$38:L40),'CRONOGRAMA BASE'!$L$9:$L$20,0)),""))</f>
        <v>7</v>
      </c>
    </row>
    <row r="41" spans="1:14" x14ac:dyDescent="0.25">
      <c r="L41" t="str">
        <f t="shared" si="0"/>
        <v>Documentación técnica</v>
      </c>
      <c r="M41">
        <f t="shared" si="1"/>
        <v>17</v>
      </c>
      <c r="N41">
        <f>IF(L41="","",IFERROR(INDEX('CRONOGRAMA BASE'!$D$9:$D$20,MATCH(ROWS($L$38:L41),'CRONOGRAMA BASE'!$L$9:$L$20,0)),""))</f>
        <v>5</v>
      </c>
    </row>
    <row r="42" spans="1:14" x14ac:dyDescent="0.25">
      <c r="L42" t="str">
        <f t="shared" si="0"/>
        <v/>
      </c>
      <c r="M42" t="str">
        <f t="shared" si="1"/>
        <v/>
      </c>
      <c r="N42" t="str">
        <f>IF(L42="","",IFERROR(INDEX('CRONOGRAMA BASE'!$D$9:$D$20,MATCH(ROWS($L$38:L42),'CRONOGRAMA BASE'!$L$9:$L$20,0)),""))</f>
        <v/>
      </c>
    </row>
    <row r="43" spans="1:14" x14ac:dyDescent="0.25">
      <c r="L43" t="str">
        <f t="shared" si="0"/>
        <v/>
      </c>
      <c r="M43" t="str">
        <f t="shared" si="1"/>
        <v/>
      </c>
      <c r="N43" t="str">
        <f>IF(L43="","",IFERROR(INDEX('CRONOGRAMA BASE'!$D$9:$D$20,MATCH(ROWS($L$38:L43),'CRONOGRAMA BASE'!$L$9:$L$20,0)),""))</f>
        <v/>
      </c>
    </row>
    <row r="44" spans="1:14" x14ac:dyDescent="0.25">
      <c r="L44" t="str">
        <f t="shared" si="0"/>
        <v/>
      </c>
      <c r="M44" t="str">
        <f t="shared" si="1"/>
        <v/>
      </c>
      <c r="N44" t="str">
        <f>IF(L44="","",IFERROR(INDEX('CRONOGRAMA BASE'!$D$9:$D$20,MATCH(ROWS($L$38:L44),'CRONOGRAMA BASE'!$L$9:$L$20,0)),""))</f>
        <v/>
      </c>
    </row>
    <row r="45" spans="1:14" x14ac:dyDescent="0.25">
      <c r="L45" t="str">
        <f t="shared" si="0"/>
        <v/>
      </c>
      <c r="M45" t="str">
        <f t="shared" si="1"/>
        <v/>
      </c>
      <c r="N45" t="str">
        <f>IF(L45="","",IFERROR(INDEX('CRONOGRAMA BASE'!$D$9:$D$20,MATCH(ROWS($L$38:L45),'CRONOGRAMA BASE'!$L$9:$L$20,0)),""))</f>
        <v/>
      </c>
    </row>
    <row r="46" spans="1:14" x14ac:dyDescent="0.25">
      <c r="L46" t="str">
        <f t="shared" si="0"/>
        <v/>
      </c>
      <c r="M46" t="str">
        <f t="shared" si="1"/>
        <v/>
      </c>
      <c r="N46" t="str">
        <f>IF(L46="","",IFERROR(INDEX('CRONOGRAMA BASE'!$D$9:$D$20,MATCH(ROWS($L$38:L46),'CRONOGRAMA BASE'!$L$9:$L$20,0)),""))</f>
        <v/>
      </c>
    </row>
    <row r="47" spans="1:14" x14ac:dyDescent="0.25">
      <c r="L47" t="str">
        <f t="shared" si="0"/>
        <v/>
      </c>
      <c r="M47" t="str">
        <f t="shared" si="1"/>
        <v/>
      </c>
      <c r="N47" t="str">
        <f>IF(L47="","",IFERROR(INDEX('CRONOGRAMA BASE'!$D$9:$D$20,MATCH(ROWS($L$38:L47),'CRONOGRAMA BASE'!$L$9:$L$20,0)),""))</f>
        <v/>
      </c>
    </row>
    <row r="48" spans="1:14" x14ac:dyDescent="0.25">
      <c r="L48" t="str">
        <f t="shared" si="0"/>
        <v/>
      </c>
      <c r="M48" t="str">
        <f t="shared" si="1"/>
        <v/>
      </c>
      <c r="N48" t="str">
        <f>IF(L48="","",IFERROR(INDEX('CRONOGRAMA BASE'!$D$9:$D$20,MATCH(ROWS($L$38:L48),'CRONOGRAMA BASE'!$L$9:$L$20,0)),""))</f>
        <v/>
      </c>
    </row>
    <row r="49" spans="12:14" x14ac:dyDescent="0.25">
      <c r="L49" t="str">
        <f t="shared" si="0"/>
        <v/>
      </c>
      <c r="M49" t="str">
        <f t="shared" si="1"/>
        <v/>
      </c>
      <c r="N49" t="str">
        <f>IF(L49="","",IFERROR(INDEX('CRONOGRAMA BASE'!$D$9:$D$20,MATCH(ROWS($L$38:L49),'CRONOGRAMA BASE'!$L$9:$L$20,0)),""))</f>
        <v/>
      </c>
    </row>
  </sheetData>
  <mergeCells count="10">
    <mergeCell ref="A31:I31"/>
    <mergeCell ref="A34:I34"/>
    <mergeCell ref="A35:I35"/>
    <mergeCell ref="A30:I30"/>
    <mergeCell ref="A29:I29"/>
    <mergeCell ref="A1:J1"/>
    <mergeCell ref="A26:B26"/>
    <mergeCell ref="A8:J9"/>
    <mergeCell ref="C26:I26"/>
    <mergeCell ref="A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LISTAS + README</vt:lpstr>
      <vt:lpstr>CRONOGRAMA BASE</vt:lpstr>
      <vt:lpstr>PRESENTACION</vt:lpstr>
      <vt:lpstr>PRESENTACION!Área_de_impresión</vt:lpstr>
      <vt:lpstr>PRESENTACION!Títulos_a_imprimir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Matteo matteo Uccelli meneses</cp:lastModifiedBy>
  <dcterms:created xsi:type="dcterms:W3CDTF">2026-03-13T03:56:57Z</dcterms:created>
  <dcterms:modified xsi:type="dcterms:W3CDTF">2026-03-13T04:19:13Z</dcterms:modified>
</cp:coreProperties>
</file>