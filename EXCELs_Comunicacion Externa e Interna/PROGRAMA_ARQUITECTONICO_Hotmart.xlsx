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MUArq\"/>
    </mc:Choice>
  </mc:AlternateContent>
  <xr:revisionPtr revIDLastSave="0" documentId="8_{D9C07331-E5BE-469D-85EE-76B9FA717CC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ISTAS + README" sheetId="1" r:id="rId1"/>
    <sheet name="IDENTIDAD" sheetId="2" r:id="rId2"/>
    <sheet name="PROGRAMA ESPACIOS" sheetId="3" r:id="rId3"/>
    <sheet name="CONDICIONANTES" sheetId="4" r:id="rId4"/>
    <sheet name="PRESENTACION" sheetId="5" r:id="rId5"/>
  </sheets>
  <definedNames>
    <definedName name="_xlnm.Print_Area" localSheetId="4">PRESENTACION!$A$1:$H$46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5" l="1"/>
  <c r="H41" i="5" s="1"/>
  <c r="A38" i="5"/>
  <c r="H38" i="5" s="1"/>
  <c r="A37" i="5"/>
  <c r="H37" i="5" s="1"/>
  <c r="E7" i="5"/>
  <c r="B7" i="5"/>
  <c r="E6" i="5"/>
  <c r="B6" i="5"/>
  <c r="E5" i="5"/>
  <c r="B5" i="5"/>
  <c r="E4" i="5"/>
  <c r="B4" i="5"/>
  <c r="K55" i="3"/>
  <c r="J55" i="3"/>
  <c r="E55" i="3"/>
  <c r="K54" i="3"/>
  <c r="J54" i="3"/>
  <c r="E54" i="3"/>
  <c r="K53" i="3"/>
  <c r="J53" i="3"/>
  <c r="E53" i="3"/>
  <c r="K52" i="3"/>
  <c r="J52" i="3"/>
  <c r="E52" i="3"/>
  <c r="K51" i="3"/>
  <c r="J51" i="3"/>
  <c r="E51" i="3"/>
  <c r="K50" i="3"/>
  <c r="J50" i="3"/>
  <c r="A32" i="5" s="1"/>
  <c r="E50" i="3"/>
  <c r="K49" i="3"/>
  <c r="J49" i="3"/>
  <c r="E49" i="3"/>
  <c r="K48" i="3"/>
  <c r="J48" i="3"/>
  <c r="E48" i="3"/>
  <c r="K47" i="3"/>
  <c r="J47" i="3"/>
  <c r="E47" i="3"/>
  <c r="K46" i="3"/>
  <c r="J46" i="3"/>
  <c r="E46" i="3"/>
  <c r="K45" i="3"/>
  <c r="J45" i="3"/>
  <c r="E45" i="3"/>
  <c r="K44" i="3"/>
  <c r="J44" i="3"/>
  <c r="E44" i="3"/>
  <c r="K43" i="3"/>
  <c r="J43" i="3"/>
  <c r="E43" i="3"/>
  <c r="K42" i="3"/>
  <c r="J42" i="3"/>
  <c r="E42" i="3"/>
  <c r="K41" i="3"/>
  <c r="J41" i="3"/>
  <c r="E41" i="3"/>
  <c r="K40" i="3"/>
  <c r="J40" i="3"/>
  <c r="E40" i="3"/>
  <c r="K39" i="3"/>
  <c r="J39" i="3"/>
  <c r="E39" i="3"/>
  <c r="K38" i="3"/>
  <c r="J38" i="3"/>
  <c r="E38" i="3"/>
  <c r="K37" i="3"/>
  <c r="J37" i="3"/>
  <c r="E37" i="3"/>
  <c r="K36" i="3"/>
  <c r="J36" i="3"/>
  <c r="E36" i="3"/>
  <c r="K35" i="3"/>
  <c r="J35" i="3"/>
  <c r="E35" i="3"/>
  <c r="K34" i="3"/>
  <c r="J34" i="3"/>
  <c r="E34" i="3"/>
  <c r="K33" i="3"/>
  <c r="J33" i="3"/>
  <c r="E33" i="3"/>
  <c r="K32" i="3"/>
  <c r="J32" i="3"/>
  <c r="E32" i="3"/>
  <c r="K31" i="3"/>
  <c r="J31" i="3"/>
  <c r="E31" i="3"/>
  <c r="K30" i="3"/>
  <c r="J30" i="3"/>
  <c r="A22" i="5" s="1"/>
  <c r="E30" i="3"/>
  <c r="K29" i="3"/>
  <c r="J29" i="3"/>
  <c r="E29" i="3"/>
  <c r="K28" i="3"/>
  <c r="J28" i="3"/>
  <c r="E28" i="3"/>
  <c r="K27" i="3"/>
  <c r="J27" i="3"/>
  <c r="E27" i="3"/>
  <c r="K26" i="3"/>
  <c r="J26" i="3"/>
  <c r="E26" i="3"/>
  <c r="K25" i="3"/>
  <c r="J25" i="3"/>
  <c r="E25" i="3"/>
  <c r="K24" i="3"/>
  <c r="J24" i="3"/>
  <c r="E24" i="3"/>
  <c r="K23" i="3"/>
  <c r="J23" i="3"/>
  <c r="A27" i="5" s="1"/>
  <c r="E23" i="3"/>
  <c r="K22" i="3"/>
  <c r="J22" i="3"/>
  <c r="E22" i="3"/>
  <c r="K21" i="3"/>
  <c r="J21" i="3"/>
  <c r="E21" i="3"/>
  <c r="K20" i="3"/>
  <c r="J20" i="3"/>
  <c r="E20" i="3"/>
  <c r="K19" i="3"/>
  <c r="J19" i="3"/>
  <c r="E19" i="3"/>
  <c r="K18" i="3"/>
  <c r="J18" i="3"/>
  <c r="E18" i="3"/>
  <c r="K17" i="3"/>
  <c r="J17" i="3"/>
  <c r="E17" i="3"/>
  <c r="K16" i="3"/>
  <c r="J16" i="3"/>
  <c r="E16" i="3"/>
  <c r="K15" i="3"/>
  <c r="J15" i="3"/>
  <c r="E15" i="3"/>
  <c r="K14" i="3"/>
  <c r="J14" i="3"/>
  <c r="E14" i="3"/>
  <c r="N13" i="3"/>
  <c r="B17" i="5" s="1"/>
  <c r="K13" i="3"/>
  <c r="J13" i="3"/>
  <c r="E13" i="3"/>
  <c r="N12" i="3"/>
  <c r="B16" i="5" s="1"/>
  <c r="K12" i="3"/>
  <c r="J12" i="3"/>
  <c r="E12" i="3"/>
  <c r="N11" i="3"/>
  <c r="B15" i="5" s="1"/>
  <c r="K11" i="3"/>
  <c r="J11" i="3"/>
  <c r="E11" i="3"/>
  <c r="N10" i="3"/>
  <c r="B14" i="5" s="1"/>
  <c r="K10" i="3"/>
  <c r="J10" i="3"/>
  <c r="E10" i="3"/>
  <c r="N9" i="3"/>
  <c r="B13" i="5" s="1"/>
  <c r="K9" i="3"/>
  <c r="J9" i="3"/>
  <c r="E9" i="3"/>
  <c r="N8" i="3"/>
  <c r="B12" i="5" s="1"/>
  <c r="K8" i="3"/>
  <c r="J8" i="3"/>
  <c r="A26" i="5" s="1"/>
  <c r="E8" i="3"/>
  <c r="N7" i="3"/>
  <c r="N14" i="3" s="1"/>
  <c r="K7" i="3"/>
  <c r="J7" i="3"/>
  <c r="A31" i="5" s="1"/>
  <c r="E7" i="3"/>
  <c r="K6" i="3"/>
  <c r="J6" i="3"/>
  <c r="A34" i="5" s="1"/>
  <c r="E6" i="3"/>
  <c r="H26" i="5" l="1"/>
  <c r="G26" i="5"/>
  <c r="F26" i="5"/>
  <c r="E26" i="5"/>
  <c r="D26" i="5"/>
  <c r="C26" i="5"/>
  <c r="B26" i="5"/>
  <c r="H22" i="5"/>
  <c r="G22" i="5"/>
  <c r="F22" i="5"/>
  <c r="E22" i="5"/>
  <c r="D22" i="5"/>
  <c r="C22" i="5"/>
  <c r="B22" i="5"/>
  <c r="H27" i="5"/>
  <c r="G27" i="5"/>
  <c r="F27" i="5"/>
  <c r="E27" i="5"/>
  <c r="D27" i="5"/>
  <c r="C27" i="5"/>
  <c r="B27" i="5"/>
  <c r="D34" i="5"/>
  <c r="C34" i="5"/>
  <c r="B34" i="5"/>
  <c r="E34" i="5"/>
  <c r="H34" i="5"/>
  <c r="G34" i="5"/>
  <c r="F34" i="5"/>
  <c r="H31" i="5"/>
  <c r="G31" i="5"/>
  <c r="F31" i="5"/>
  <c r="E31" i="5"/>
  <c r="D31" i="5"/>
  <c r="C31" i="5"/>
  <c r="B31" i="5"/>
  <c r="H32" i="5"/>
  <c r="G32" i="5"/>
  <c r="F32" i="5"/>
  <c r="E32" i="5"/>
  <c r="D32" i="5"/>
  <c r="C32" i="5"/>
  <c r="B32" i="5"/>
  <c r="B18" i="5"/>
  <c r="O11" i="3"/>
  <c r="C15" i="5" s="1"/>
  <c r="O7" i="3"/>
  <c r="C11" i="5" s="1"/>
  <c r="O13" i="3"/>
  <c r="C17" i="5" s="1"/>
  <c r="O9" i="3"/>
  <c r="C13" i="5" s="1"/>
  <c r="O10" i="3"/>
  <c r="C14" i="5" s="1"/>
  <c r="O12" i="3"/>
  <c r="C16" i="5" s="1"/>
  <c r="O8" i="3"/>
  <c r="C12" i="5" s="1"/>
  <c r="B37" i="5"/>
  <c r="C37" i="5"/>
  <c r="D37" i="5"/>
  <c r="A25" i="5"/>
  <c r="A30" i="5"/>
  <c r="A35" i="5"/>
  <c r="E37" i="5"/>
  <c r="A40" i="5"/>
  <c r="B11" i="5"/>
  <c r="F37" i="5"/>
  <c r="G37" i="5"/>
  <c r="B38" i="5"/>
  <c r="C38" i="5"/>
  <c r="D38" i="5"/>
  <c r="A33" i="5"/>
  <c r="E38" i="5"/>
  <c r="F38" i="5"/>
  <c r="B41" i="5"/>
  <c r="G38" i="5"/>
  <c r="C41" i="5"/>
  <c r="A36" i="5"/>
  <c r="D41" i="5"/>
  <c r="A23" i="5"/>
  <c r="A28" i="5"/>
  <c r="A39" i="5"/>
  <c r="E41" i="5"/>
  <c r="A24" i="5"/>
  <c r="A29" i="5"/>
  <c r="F41" i="5"/>
  <c r="G41" i="5"/>
  <c r="D39" i="5" l="1"/>
  <c r="C39" i="5"/>
  <c r="B39" i="5"/>
  <c r="H39" i="5"/>
  <c r="G39" i="5"/>
  <c r="F39" i="5"/>
  <c r="E39" i="5"/>
  <c r="H23" i="5"/>
  <c r="G23" i="5"/>
  <c r="F23" i="5"/>
  <c r="E23" i="5"/>
  <c r="D23" i="5"/>
  <c r="C23" i="5"/>
  <c r="B23" i="5"/>
  <c r="D29" i="5"/>
  <c r="C29" i="5"/>
  <c r="B29" i="5"/>
  <c r="E29" i="5"/>
  <c r="H29" i="5"/>
  <c r="G29" i="5"/>
  <c r="F29" i="5"/>
  <c r="E35" i="5"/>
  <c r="H35" i="5"/>
  <c r="G35" i="5"/>
  <c r="F35" i="5"/>
  <c r="D35" i="5"/>
  <c r="C35" i="5"/>
  <c r="B35" i="5"/>
  <c r="E25" i="5"/>
  <c r="H25" i="5"/>
  <c r="G25" i="5"/>
  <c r="F25" i="5"/>
  <c r="D25" i="5"/>
  <c r="C25" i="5"/>
  <c r="B25" i="5"/>
  <c r="D24" i="5"/>
  <c r="C24" i="5"/>
  <c r="B24" i="5"/>
  <c r="E24" i="5"/>
  <c r="H24" i="5"/>
  <c r="G24" i="5"/>
  <c r="F24" i="5"/>
  <c r="E30" i="5"/>
  <c r="H30" i="5"/>
  <c r="G30" i="5"/>
  <c r="F30" i="5"/>
  <c r="D30" i="5"/>
  <c r="C30" i="5"/>
  <c r="B30" i="5"/>
  <c r="H36" i="5"/>
  <c r="G36" i="5"/>
  <c r="F36" i="5"/>
  <c r="E36" i="5"/>
  <c r="D36" i="5"/>
  <c r="C36" i="5"/>
  <c r="B36" i="5"/>
  <c r="H33" i="5"/>
  <c r="G33" i="5"/>
  <c r="F33" i="5"/>
  <c r="E33" i="5"/>
  <c r="D33" i="5"/>
  <c r="C33" i="5"/>
  <c r="B33" i="5"/>
  <c r="H40" i="5"/>
  <c r="G40" i="5"/>
  <c r="F40" i="5"/>
  <c r="E40" i="5"/>
  <c r="D40" i="5"/>
  <c r="C40" i="5"/>
  <c r="B40" i="5"/>
  <c r="H28" i="5"/>
  <c r="G28" i="5"/>
  <c r="F28" i="5"/>
  <c r="E28" i="5"/>
  <c r="D28" i="5"/>
  <c r="C28" i="5"/>
  <c r="B28" i="5"/>
</calcChain>
</file>

<file path=xl/sharedStrings.xml><?xml version="1.0" encoding="utf-8"?>
<sst xmlns="http://schemas.openxmlformats.org/spreadsheetml/2006/main" count="137" uniqueCount="100">
  <si>
    <t>PROGRAMA ARQUITECTÓNICO — LISTAS + README</t>
  </si>
  <si>
    <t>1) Completa IDENTIDAD, luego PROGRAMA ESPACIOS y CONDICIONANTES.</t>
  </si>
  <si>
    <t>2) En PROGRAMA ESPACIOS llena solo celdas amarillas; el área total se calcula sola.</t>
  </si>
  <si>
    <t>3) La tabla de áreas por zona y el gráfico se actualizan automáticamente.</t>
  </si>
  <si>
    <t>4) PRESENTACION arma la ficha para adjuntar a propuesta o para validación con firma.</t>
  </si>
  <si>
    <t>LISTAS</t>
  </si>
  <si>
    <t>ZONAS</t>
  </si>
  <si>
    <t>Orden</t>
  </si>
  <si>
    <t>PRIORIDAD</t>
  </si>
  <si>
    <t>TIPO PROYECTO</t>
  </si>
  <si>
    <t>ESTADO ACTUAL</t>
  </si>
  <si>
    <t>Pública</t>
  </si>
  <si>
    <t>Alta</t>
  </si>
  <si>
    <t>Remodelación</t>
  </si>
  <si>
    <t>Idea</t>
  </si>
  <si>
    <t>Privada</t>
  </si>
  <si>
    <t>Media</t>
  </si>
  <si>
    <t>Arquitectura nueva</t>
  </si>
  <si>
    <t>Brief confirmado</t>
  </si>
  <si>
    <t>Servicio</t>
  </si>
  <si>
    <t>Baja</t>
  </si>
  <si>
    <t>Interiorismo</t>
  </si>
  <si>
    <t>Diseño en curso</t>
  </si>
  <si>
    <t>Exterior</t>
  </si>
  <si>
    <t>Oficina</t>
  </si>
  <si>
    <t>Expediente</t>
  </si>
  <si>
    <t>Técnica</t>
  </si>
  <si>
    <t>Comercial</t>
  </si>
  <si>
    <t>Obra</t>
  </si>
  <si>
    <t>Industrial pequeño</t>
  </si>
  <si>
    <t>Cerrado</t>
  </si>
  <si>
    <t>Común</t>
  </si>
  <si>
    <t>Consultoría</t>
  </si>
  <si>
    <t>IDENTIDAD — FICHA DEL PROYECTO</t>
  </si>
  <si>
    <t>Cliente</t>
  </si>
  <si>
    <t/>
  </si>
  <si>
    <t>Proyecto</t>
  </si>
  <si>
    <t>Código</t>
  </si>
  <si>
    <t>PA-001</t>
  </si>
  <si>
    <t>Ubicación</t>
  </si>
  <si>
    <t>Tipo de proyecto</t>
  </si>
  <si>
    <t>Área del terreno (m²)</t>
  </si>
  <si>
    <t>Área construida existente (m²)</t>
  </si>
  <si>
    <t>Presupuesto referencial de obra (S/.)</t>
  </si>
  <si>
    <t>Fecha objetivo</t>
  </si>
  <si>
    <t>Estado actual</t>
  </si>
  <si>
    <t>Responsable</t>
  </si>
  <si>
    <t>Fecha de levantamiento</t>
  </si>
  <si>
    <t>PROGRAMA DE ESPACIOS — MATRIZ</t>
  </si>
  <si>
    <t>Instrucción: cada fila es un espacio. Llena Zona, Espacio, Cantidad y Área unitaria; lo demás es opcional.</t>
  </si>
  <si>
    <t>Zona</t>
  </si>
  <si>
    <t>Espacio</t>
  </si>
  <si>
    <t>Cantidad</t>
  </si>
  <si>
    <t>Área unitaria (m²)</t>
  </si>
  <si>
    <t>Área total (m²)</t>
  </si>
  <si>
    <t>Usuarios</t>
  </si>
  <si>
    <t>Relación / adyacencia</t>
  </si>
  <si>
    <t>Prioridad</t>
  </si>
  <si>
    <t>Observaciones</t>
  </si>
  <si>
    <t>Orden (oculto)</t>
  </si>
  <si>
    <t>Zona (oculto)</t>
  </si>
  <si>
    <t>Cuadro de áreas por zona</t>
  </si>
  <si>
    <t>Área (m²)</t>
  </si>
  <si>
    <t>%</t>
  </si>
  <si>
    <t>TOTAL</t>
  </si>
  <si>
    <t>CONDICIONANTES — RESTRICCIONES Y CRITERIOS</t>
  </si>
  <si>
    <t>Normativa y restricciones</t>
  </si>
  <si>
    <t>Normativa aplicable (municipal / condominio / interna)</t>
  </si>
  <si>
    <t>Parámetros urbanos (altura, retiros, ocupación, etc.)</t>
  </si>
  <si>
    <t>Restricciones del terreno / preexistencias</t>
  </si>
  <si>
    <t>Servidumbres / afectaciones / interferencias</t>
  </si>
  <si>
    <t>Permisos requeridos / revisiones externas</t>
  </si>
  <si>
    <t>Condicionantes técnicas</t>
  </si>
  <si>
    <t>Estado de estructura / muros / losas</t>
  </si>
  <si>
    <t>Instalaciones existentes (sanitaria, eléctrica, etc.)</t>
  </si>
  <si>
    <t>Limitaciones logísticas de obra (accesos, horarios)</t>
  </si>
  <si>
    <t>Seguridad y riesgos</t>
  </si>
  <si>
    <t>Interferencias / terceros</t>
  </si>
  <si>
    <t>Preferencias del cliente</t>
  </si>
  <si>
    <t>Materialidad / acabados preferidos</t>
  </si>
  <si>
    <t>Estilo / referencias generales (texto)</t>
  </si>
  <si>
    <t>Prioridades funcionales</t>
  </si>
  <si>
    <t>Sostenibilidad / confort</t>
  </si>
  <si>
    <t>Elementos deseados / no deseados</t>
  </si>
  <si>
    <t>FICHA DE BRIEF + PROGRAMA (LISTA PARA ADJUNTAR / FIRMAR)</t>
  </si>
  <si>
    <t>Datos generales</t>
  </si>
  <si>
    <t>Tipo</t>
  </si>
  <si>
    <t>Presupuesto obra</t>
  </si>
  <si>
    <t>Estado</t>
  </si>
  <si>
    <t>Programa de espacios (ordenado por zona)</t>
  </si>
  <si>
    <t>Cant.</t>
  </si>
  <si>
    <t>Área u.</t>
  </si>
  <si>
    <t>Área T.</t>
  </si>
  <si>
    <t>Relación</t>
  </si>
  <si>
    <t>Prior.</t>
  </si>
  <si>
    <t>Validación del cliente</t>
  </si>
  <si>
    <t>Firma:</t>
  </si>
  <si>
    <t>Nombre: ______________________</t>
  </si>
  <si>
    <t>DNI: _________________________</t>
  </si>
  <si>
    <t>Fecha: ____ / ____ / 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</si>
</sst>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555555"/>
      <name val="Calibri"/>
    </font>
    <font>
      <sz val="11"/>
      <color rgb="FF0000FF"/>
      <name val="Calibri"/>
    </font>
    <font>
      <i/>
      <sz val="11"/>
      <color rgb="FF666666"/>
      <name val="Calibri"/>
    </font>
    <font>
      <b/>
      <sz val="9"/>
      <color rgb="FFFFFFFF"/>
      <name val="Calibri"/>
    </font>
    <font>
      <b/>
      <sz val="11"/>
      <color rgb="FF000000"/>
      <name val="Calibri"/>
    </font>
    <font>
      <b/>
      <sz val="13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3" borderId="0" xfId="0" applyFont="1" applyFill="1"/>
    <xf numFmtId="0" fontId="4" fillId="3" borderId="0" xfId="0" applyFont="1" applyFill="1"/>
    <xf numFmtId="0" fontId="5" fillId="4" borderId="1" xfId="0" applyFont="1" applyFill="1" applyBorder="1" applyAlignment="1">
      <alignment vertical="center" wrapText="1"/>
    </xf>
    <xf numFmtId="2" fontId="5" fillId="4" borderId="1" xfId="0" applyNumberFormat="1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2" fontId="0" fillId="0" borderId="1" xfId="0" applyNumberFormat="1" applyBorder="1" applyAlignment="1">
      <alignment horizontal="left" vertical="top"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2" fontId="0" fillId="5" borderId="1" xfId="0" applyNumberFormat="1" applyFill="1" applyBorder="1" applyAlignment="1">
      <alignment horizontal="right" vertical="top" wrapText="1"/>
    </xf>
    <xf numFmtId="166" fontId="0" fillId="5" borderId="1" xfId="0" applyNumberFormat="1" applyFill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2" fontId="0" fillId="0" borderId="1" xfId="0" applyNumberFormat="1" applyBorder="1" applyAlignment="1">
      <alignment horizontal="right" vertical="top" wrapText="1"/>
    </xf>
    <xf numFmtId="166" fontId="0" fillId="0" borderId="1" xfId="0" applyNumberFormat="1" applyBorder="1" applyAlignment="1">
      <alignment horizontal="right" vertical="top" wrapText="1"/>
    </xf>
    <xf numFmtId="0" fontId="3" fillId="0" borderId="0" xfId="0" applyFont="1"/>
    <xf numFmtId="2" fontId="3" fillId="0" borderId="0" xfId="0" applyNumberFormat="1" applyFont="1"/>
    <xf numFmtId="166" fontId="3" fillId="0" borderId="0" xfId="0" applyNumberFormat="1" applyFont="1"/>
    <xf numFmtId="0" fontId="0" fillId="5" borderId="1" xfId="0" applyFill="1" applyBorder="1"/>
    <xf numFmtId="164" fontId="0" fillId="5" borderId="1" xfId="0" applyNumberFormat="1" applyFill="1" applyBorder="1"/>
    <xf numFmtId="0" fontId="3" fillId="3" borderId="1" xfId="0" applyFont="1" applyFill="1" applyBorder="1"/>
    <xf numFmtId="2" fontId="0" fillId="0" borderId="1" xfId="0" applyNumberFormat="1" applyBorder="1"/>
    <xf numFmtId="166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/>
    <xf numFmtId="166" fontId="3" fillId="0" borderId="1" xfId="0" applyNumberFormat="1" applyFont="1" applyBorder="1"/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2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6" fillId="0" borderId="0" xfId="0" applyFont="1"/>
    <xf numFmtId="0" fontId="5" fillId="4" borderId="1" xfId="0" applyFont="1" applyFill="1" applyBorder="1" applyAlignment="1">
      <alignment vertical="center" wrapText="1"/>
    </xf>
    <xf numFmtId="0" fontId="4" fillId="3" borderId="0" xfId="0" applyFont="1" applyFill="1"/>
    <xf numFmtId="0" fontId="5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lang="es-PE"/>
              <a:t>Distribución de área por zona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PRESENTACION!$B$10</c:f>
              <c:strCache>
                <c:ptCount val="1"/>
                <c:pt idx="0">
                  <c:v>Área (m²)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PRESENTACION!$A$11:$A$17</c:f>
              <c:strCache>
                <c:ptCount val="7"/>
                <c:pt idx="0">
                  <c:v>Pública</c:v>
                </c:pt>
                <c:pt idx="1">
                  <c:v>Privada</c:v>
                </c:pt>
                <c:pt idx="2">
                  <c:v>Servicio</c:v>
                </c:pt>
                <c:pt idx="3">
                  <c:v>Exterior</c:v>
                </c:pt>
                <c:pt idx="4">
                  <c:v>Técnica</c:v>
                </c:pt>
                <c:pt idx="5">
                  <c:v>Comercial</c:v>
                </c:pt>
                <c:pt idx="6">
                  <c:v>Común</c:v>
                </c:pt>
              </c:strCache>
            </c:strRef>
          </c:cat>
          <c:val>
            <c:numRef>
              <c:f>PRESENTACION!$B$11:$B$17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A-4315-A2E6-02EC92C7F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133349</xdr:colOff>
      <xdr:row>8</xdr:row>
      <xdr:rowOff>0</xdr:rowOff>
    </xdr:from>
    <xdr:to>
      <xdr:col>9</xdr:col>
      <xdr:colOff>114299</xdr:colOff>
      <xdr:row>18</xdr:row>
      <xdr:rowOff>9525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workbookViewId="0">
      <selection sqref="A1:H1"/>
    </sheetView>
  </sheetViews>
  <sheetFormatPr baseColWidth="10" defaultColWidth="9.140625" defaultRowHeight="15" x14ac:dyDescent="0.25"/>
  <cols>
    <col min="1" max="1" width="44" customWidth="1"/>
    <col min="2" max="2" width="10" customWidth="1"/>
    <col min="4" max="4" width="14" customWidth="1"/>
    <col min="6" max="6" width="18" customWidth="1"/>
    <col min="8" max="8" width="16" customWidth="1"/>
  </cols>
  <sheetData>
    <row r="1" spans="1:8" x14ac:dyDescent="0.25">
      <c r="A1" s="32" t="s">
        <v>0</v>
      </c>
      <c r="B1" s="31"/>
      <c r="C1" s="31"/>
      <c r="D1" s="31"/>
      <c r="E1" s="31"/>
      <c r="F1" s="31"/>
      <c r="G1" s="31"/>
      <c r="H1" s="31"/>
    </row>
    <row r="3" spans="1:8" x14ac:dyDescent="0.25">
      <c r="A3" t="s">
        <v>1</v>
      </c>
    </row>
    <row r="4" spans="1:8" x14ac:dyDescent="0.25">
      <c r="A4" t="s">
        <v>2</v>
      </c>
    </row>
    <row r="5" spans="1:8" x14ac:dyDescent="0.25">
      <c r="A5" t="s">
        <v>3</v>
      </c>
    </row>
    <row r="6" spans="1:8" x14ac:dyDescent="0.25">
      <c r="A6" t="s">
        <v>4</v>
      </c>
    </row>
    <row r="8" spans="1:8" x14ac:dyDescent="0.25">
      <c r="A8" s="30" t="s">
        <v>5</v>
      </c>
      <c r="B8" s="31"/>
      <c r="C8" s="31"/>
      <c r="D8" s="31"/>
      <c r="E8" s="31"/>
      <c r="F8" s="31"/>
      <c r="G8" s="31"/>
      <c r="H8" s="31"/>
    </row>
    <row r="10" spans="1:8" x14ac:dyDescent="0.25">
      <c r="A10" s="1" t="s">
        <v>6</v>
      </c>
      <c r="B10" s="1" t="s">
        <v>7</v>
      </c>
      <c r="D10" s="1" t="s">
        <v>8</v>
      </c>
      <c r="F10" s="1" t="s">
        <v>9</v>
      </c>
      <c r="H10" s="1" t="s">
        <v>10</v>
      </c>
    </row>
    <row r="11" spans="1:8" x14ac:dyDescent="0.25">
      <c r="A11" t="s">
        <v>11</v>
      </c>
      <c r="B11">
        <v>1</v>
      </c>
      <c r="D11" t="s">
        <v>12</v>
      </c>
      <c r="F11" t="s">
        <v>13</v>
      </c>
      <c r="H11" t="s">
        <v>14</v>
      </c>
    </row>
    <row r="12" spans="1:8" x14ac:dyDescent="0.25">
      <c r="A12" t="s">
        <v>15</v>
      </c>
      <c r="B12">
        <v>2</v>
      </c>
      <c r="D12" t="s">
        <v>16</v>
      </c>
      <c r="F12" t="s">
        <v>17</v>
      </c>
      <c r="H12" t="s">
        <v>18</v>
      </c>
    </row>
    <row r="13" spans="1:8" x14ac:dyDescent="0.25">
      <c r="A13" t="s">
        <v>19</v>
      </c>
      <c r="B13">
        <v>3</v>
      </c>
      <c r="D13" t="s">
        <v>20</v>
      </c>
      <c r="F13" t="s">
        <v>21</v>
      </c>
      <c r="H13" t="s">
        <v>22</v>
      </c>
    </row>
    <row r="14" spans="1:8" x14ac:dyDescent="0.25">
      <c r="A14" t="s">
        <v>23</v>
      </c>
      <c r="B14">
        <v>4</v>
      </c>
      <c r="F14" t="s">
        <v>24</v>
      </c>
      <c r="H14" t="s">
        <v>25</v>
      </c>
    </row>
    <row r="15" spans="1:8" x14ac:dyDescent="0.25">
      <c r="A15" t="s">
        <v>26</v>
      </c>
      <c r="B15">
        <v>5</v>
      </c>
      <c r="F15" t="s">
        <v>27</v>
      </c>
      <c r="H15" t="s">
        <v>28</v>
      </c>
    </row>
    <row r="16" spans="1:8" x14ac:dyDescent="0.25">
      <c r="A16" t="s">
        <v>27</v>
      </c>
      <c r="B16">
        <v>6</v>
      </c>
      <c r="F16" t="s">
        <v>29</v>
      </c>
      <c r="H16" t="s">
        <v>30</v>
      </c>
    </row>
    <row r="17" spans="1:6" x14ac:dyDescent="0.25">
      <c r="A17" t="s">
        <v>31</v>
      </c>
      <c r="B17">
        <v>7</v>
      </c>
      <c r="F17" t="s">
        <v>32</v>
      </c>
    </row>
  </sheetData>
  <mergeCells count="2">
    <mergeCell ref="A8:H8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workbookViewId="0">
      <selection sqref="A1:H1"/>
    </sheetView>
  </sheetViews>
  <sheetFormatPr baseColWidth="10" defaultColWidth="9.140625" defaultRowHeight="15" x14ac:dyDescent="0.25"/>
  <cols>
    <col min="1" max="1" width="30" customWidth="1"/>
    <col min="2" max="2" width="40" customWidth="1"/>
  </cols>
  <sheetData>
    <row r="1" spans="1:8" x14ac:dyDescent="0.25">
      <c r="A1" s="32" t="s">
        <v>33</v>
      </c>
      <c r="B1" s="31"/>
      <c r="C1" s="31"/>
      <c r="D1" s="31"/>
      <c r="E1" s="31"/>
      <c r="F1" s="31"/>
      <c r="G1" s="31"/>
      <c r="H1" s="31"/>
    </row>
    <row r="3" spans="1:8" x14ac:dyDescent="0.25">
      <c r="A3" s="2" t="s">
        <v>34</v>
      </c>
      <c r="B3" s="3" t="s">
        <v>35</v>
      </c>
    </row>
    <row r="4" spans="1:8" x14ac:dyDescent="0.25">
      <c r="A4" s="2" t="s">
        <v>36</v>
      </c>
      <c r="B4" s="3" t="s">
        <v>35</v>
      </c>
    </row>
    <row r="5" spans="1:8" x14ac:dyDescent="0.25">
      <c r="A5" s="2" t="s">
        <v>37</v>
      </c>
      <c r="B5" s="3" t="s">
        <v>38</v>
      </c>
    </row>
    <row r="6" spans="1:8" x14ac:dyDescent="0.25">
      <c r="A6" s="2" t="s">
        <v>39</v>
      </c>
      <c r="B6" s="3" t="s">
        <v>35</v>
      </c>
    </row>
    <row r="7" spans="1:8" x14ac:dyDescent="0.25">
      <c r="A7" s="2" t="s">
        <v>40</v>
      </c>
      <c r="B7" s="3" t="s">
        <v>13</v>
      </c>
    </row>
    <row r="8" spans="1:8" x14ac:dyDescent="0.25">
      <c r="A8" s="2" t="s">
        <v>41</v>
      </c>
      <c r="B8" s="4" t="s">
        <v>35</v>
      </c>
    </row>
    <row r="9" spans="1:8" x14ac:dyDescent="0.25">
      <c r="A9" s="2" t="s">
        <v>42</v>
      </c>
      <c r="B9" s="4">
        <v>540</v>
      </c>
    </row>
    <row r="10" spans="1:8" x14ac:dyDescent="0.25">
      <c r="A10" s="2" t="s">
        <v>43</v>
      </c>
      <c r="B10" s="3" t="s">
        <v>35</v>
      </c>
    </row>
    <row r="11" spans="1:8" x14ac:dyDescent="0.25">
      <c r="A11" s="2" t="s">
        <v>44</v>
      </c>
      <c r="B11" s="5" t="s">
        <v>35</v>
      </c>
    </row>
    <row r="12" spans="1:8" x14ac:dyDescent="0.25">
      <c r="A12" s="2" t="s">
        <v>45</v>
      </c>
      <c r="B12" s="3" t="s">
        <v>18</v>
      </c>
    </row>
    <row r="13" spans="1:8" x14ac:dyDescent="0.25">
      <c r="A13" s="2" t="s">
        <v>46</v>
      </c>
      <c r="B13" s="3" t="s">
        <v>35</v>
      </c>
    </row>
    <row r="14" spans="1:8" x14ac:dyDescent="0.25">
      <c r="A14" s="2" t="s">
        <v>47</v>
      </c>
      <c r="B14" s="5">
        <v>46097</v>
      </c>
    </row>
  </sheetData>
  <mergeCells count="1">
    <mergeCell ref="A1:H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'LISTAS + README'!$F$11:$F$17</xm:f>
          </x14:formula1>
          <xm:sqref>B7</xm:sqref>
        </x14:dataValidation>
        <x14:dataValidation type="list" xr:uid="{00000000-0002-0000-0100-000001000000}">
          <x14:formula1>
            <xm:f>'LISTAS + README'!$H$11:$H$16</xm:f>
          </x14:formula1>
          <xm:sqref>B12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5"/>
  <sheetViews>
    <sheetView showGridLines="0" workbookViewId="0">
      <selection sqref="A1:K1"/>
    </sheetView>
  </sheetViews>
  <sheetFormatPr baseColWidth="10" defaultColWidth="9.140625" defaultRowHeight="15" x14ac:dyDescent="0.25"/>
  <cols>
    <col min="1" max="1" width="14" customWidth="1"/>
    <col min="2" max="2" width="26" customWidth="1"/>
    <col min="3" max="3" width="10" customWidth="1"/>
    <col min="4" max="5" width="16" customWidth="1"/>
    <col min="6" max="6" width="14" customWidth="1"/>
    <col min="7" max="7" width="18" customWidth="1"/>
    <col min="8" max="8" width="12" customWidth="1"/>
    <col min="9" max="9" width="22" customWidth="1"/>
    <col min="10" max="11" width="12" hidden="1" customWidth="1"/>
    <col min="13" max="14" width="14" customWidth="1"/>
    <col min="15" max="15" width="10" customWidth="1"/>
  </cols>
  <sheetData>
    <row r="1" spans="1:15" x14ac:dyDescent="0.25">
      <c r="A1" s="32" t="s">
        <v>48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3" spans="1:15" x14ac:dyDescent="0.25">
      <c r="A3" s="34" t="s">
        <v>49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5" x14ac:dyDescent="0.25">
      <c r="A5" s="6" t="s">
        <v>50</v>
      </c>
      <c r="B5" s="6" t="s">
        <v>51</v>
      </c>
      <c r="C5" s="6" t="s">
        <v>52</v>
      </c>
      <c r="D5" s="6" t="s">
        <v>53</v>
      </c>
      <c r="E5" s="6" t="s">
        <v>54</v>
      </c>
      <c r="F5" s="6" t="s">
        <v>55</v>
      </c>
      <c r="G5" s="6" t="s">
        <v>56</v>
      </c>
      <c r="H5" s="6" t="s">
        <v>57</v>
      </c>
      <c r="I5" s="6" t="s">
        <v>58</v>
      </c>
      <c r="J5" s="6" t="s">
        <v>59</v>
      </c>
      <c r="K5" s="6" t="s">
        <v>60</v>
      </c>
      <c r="M5" s="33" t="s">
        <v>61</v>
      </c>
      <c r="N5" s="31"/>
      <c r="O5" s="31"/>
    </row>
    <row r="6" spans="1:15" x14ac:dyDescent="0.25">
      <c r="A6" s="3"/>
      <c r="B6" s="3"/>
      <c r="C6" s="3"/>
      <c r="D6" s="3"/>
      <c r="E6" s="7" t="str">
        <f t="shared" ref="E6:E37" si="0">IF(OR(C6="",D6=""),"",C6*D6)</f>
        <v/>
      </c>
      <c r="F6" s="3"/>
      <c r="G6" s="3"/>
      <c r="H6" s="3"/>
      <c r="I6" s="3"/>
      <c r="J6" s="8" t="str">
        <f>IF(B6="","",VLOOKUP(A6,'LISTAS + README'!$A$11:$B$17,2,FALSE)*1000+ROW(A6))</f>
        <v/>
      </c>
      <c r="K6" s="8">
        <f t="shared" ref="K6:K37" si="1">A6</f>
        <v>0</v>
      </c>
      <c r="M6" s="9" t="s">
        <v>50</v>
      </c>
      <c r="N6" s="9" t="s">
        <v>62</v>
      </c>
      <c r="O6" s="9" t="s">
        <v>63</v>
      </c>
    </row>
    <row r="7" spans="1:15" x14ac:dyDescent="0.25">
      <c r="A7" s="3"/>
      <c r="B7" s="3"/>
      <c r="C7" s="3"/>
      <c r="D7" s="3"/>
      <c r="E7" s="7" t="str">
        <f t="shared" si="0"/>
        <v/>
      </c>
      <c r="F7" s="3"/>
      <c r="G7" s="3"/>
      <c r="H7" s="3"/>
      <c r="I7" s="3"/>
      <c r="J7" s="8" t="str">
        <f>IF(B7="","",VLOOKUP(A7,'LISTAS + README'!$A$11:$B$17,2,FALSE)*1000+ROW(A7))</f>
        <v/>
      </c>
      <c r="K7" s="8">
        <f t="shared" si="1"/>
        <v>0</v>
      </c>
      <c r="M7" s="10" t="s">
        <v>11</v>
      </c>
      <c r="N7" s="11">
        <f t="shared" ref="N7:N13" si="2">SUMIF($A$6:$A$55,M7,$E$6:$E$55)</f>
        <v>0</v>
      </c>
      <c r="O7" s="12" t="str">
        <f t="shared" ref="O7:O13" si="3">IF($N$14=0,"",N7/$N$14)</f>
        <v/>
      </c>
    </row>
    <row r="8" spans="1:15" x14ac:dyDescent="0.25">
      <c r="A8" s="3"/>
      <c r="B8" s="3"/>
      <c r="C8" s="3"/>
      <c r="D8" s="3"/>
      <c r="E8" s="7" t="str">
        <f t="shared" si="0"/>
        <v/>
      </c>
      <c r="F8" s="3"/>
      <c r="G8" s="3"/>
      <c r="H8" s="3"/>
      <c r="I8" s="3"/>
      <c r="J8" s="8" t="str">
        <f>IF(B8="","",VLOOKUP(A8,'LISTAS + README'!$A$11:$B$17,2,FALSE)*1000+ROW(A8))</f>
        <v/>
      </c>
      <c r="K8" s="8">
        <f t="shared" si="1"/>
        <v>0</v>
      </c>
      <c r="M8" s="13" t="s">
        <v>15</v>
      </c>
      <c r="N8" s="14">
        <f t="shared" si="2"/>
        <v>0</v>
      </c>
      <c r="O8" s="15" t="str">
        <f t="shared" si="3"/>
        <v/>
      </c>
    </row>
    <row r="9" spans="1:15" x14ac:dyDescent="0.25">
      <c r="A9" s="3"/>
      <c r="B9" s="3"/>
      <c r="C9" s="3"/>
      <c r="D9" s="3"/>
      <c r="E9" s="7" t="str">
        <f t="shared" si="0"/>
        <v/>
      </c>
      <c r="F9" s="3"/>
      <c r="G9" s="3"/>
      <c r="H9" s="3"/>
      <c r="I9" s="3"/>
      <c r="J9" s="8" t="str">
        <f>IF(B9="","",VLOOKUP(A9,'LISTAS + README'!$A$11:$B$17,2,FALSE)*1000+ROW(A9))</f>
        <v/>
      </c>
      <c r="K9" s="8">
        <f t="shared" si="1"/>
        <v>0</v>
      </c>
      <c r="M9" s="10" t="s">
        <v>19</v>
      </c>
      <c r="N9" s="11">
        <f t="shared" si="2"/>
        <v>0</v>
      </c>
      <c r="O9" s="12" t="str">
        <f t="shared" si="3"/>
        <v/>
      </c>
    </row>
    <row r="10" spans="1:15" x14ac:dyDescent="0.25">
      <c r="A10" s="3"/>
      <c r="B10" s="3"/>
      <c r="C10" s="3"/>
      <c r="D10" s="3"/>
      <c r="E10" s="7" t="str">
        <f t="shared" si="0"/>
        <v/>
      </c>
      <c r="F10" s="3"/>
      <c r="G10" s="3"/>
      <c r="H10" s="3"/>
      <c r="I10" s="3"/>
      <c r="J10" s="8" t="str">
        <f>IF(B10="","",VLOOKUP(A10,'LISTAS + README'!$A$11:$B$17,2,FALSE)*1000+ROW(A10))</f>
        <v/>
      </c>
      <c r="K10" s="8">
        <f t="shared" si="1"/>
        <v>0</v>
      </c>
      <c r="M10" s="13" t="s">
        <v>23</v>
      </c>
      <c r="N10" s="14">
        <f t="shared" si="2"/>
        <v>0</v>
      </c>
      <c r="O10" s="15" t="str">
        <f t="shared" si="3"/>
        <v/>
      </c>
    </row>
    <row r="11" spans="1:15" x14ac:dyDescent="0.25">
      <c r="A11" s="3"/>
      <c r="B11" s="3"/>
      <c r="C11" s="3"/>
      <c r="D11" s="3"/>
      <c r="E11" s="7" t="str">
        <f t="shared" si="0"/>
        <v/>
      </c>
      <c r="F11" s="3"/>
      <c r="G11" s="3"/>
      <c r="H11" s="3"/>
      <c r="I11" s="3"/>
      <c r="J11" s="8" t="str">
        <f>IF(B11="","",VLOOKUP(A11,'LISTAS + README'!$A$11:$B$17,2,FALSE)*1000+ROW(A11))</f>
        <v/>
      </c>
      <c r="K11" s="8">
        <f t="shared" si="1"/>
        <v>0</v>
      </c>
      <c r="M11" s="10" t="s">
        <v>26</v>
      </c>
      <c r="N11" s="11">
        <f t="shared" si="2"/>
        <v>0</v>
      </c>
      <c r="O11" s="12" t="str">
        <f t="shared" si="3"/>
        <v/>
      </c>
    </row>
    <row r="12" spans="1:15" x14ac:dyDescent="0.25">
      <c r="A12" s="3"/>
      <c r="B12" s="3"/>
      <c r="C12" s="3"/>
      <c r="D12" s="3"/>
      <c r="E12" s="7" t="str">
        <f t="shared" si="0"/>
        <v/>
      </c>
      <c r="F12" s="3"/>
      <c r="G12" s="3"/>
      <c r="H12" s="3"/>
      <c r="I12" s="3"/>
      <c r="J12" s="8" t="str">
        <f>IF(B12="","",VLOOKUP(A12,'LISTAS + README'!$A$11:$B$17,2,FALSE)*1000+ROW(A12))</f>
        <v/>
      </c>
      <c r="K12" s="8">
        <f t="shared" si="1"/>
        <v>0</v>
      </c>
      <c r="M12" s="13" t="s">
        <v>27</v>
      </c>
      <c r="N12" s="14">
        <f t="shared" si="2"/>
        <v>0</v>
      </c>
      <c r="O12" s="15" t="str">
        <f t="shared" si="3"/>
        <v/>
      </c>
    </row>
    <row r="13" spans="1:15" x14ac:dyDescent="0.25">
      <c r="A13" s="3"/>
      <c r="B13" s="3"/>
      <c r="C13" s="3"/>
      <c r="D13" s="3"/>
      <c r="E13" s="7" t="str">
        <f t="shared" si="0"/>
        <v/>
      </c>
      <c r="F13" s="3"/>
      <c r="G13" s="3"/>
      <c r="H13" s="3"/>
      <c r="I13" s="3"/>
      <c r="J13" s="8" t="str">
        <f>IF(B13="","",VLOOKUP(A13,'LISTAS + README'!$A$11:$B$17,2,FALSE)*1000+ROW(A13))</f>
        <v/>
      </c>
      <c r="K13" s="8">
        <f t="shared" si="1"/>
        <v>0</v>
      </c>
      <c r="M13" s="10" t="s">
        <v>31</v>
      </c>
      <c r="N13" s="11">
        <f t="shared" si="2"/>
        <v>0</v>
      </c>
      <c r="O13" s="12" t="str">
        <f t="shared" si="3"/>
        <v/>
      </c>
    </row>
    <row r="14" spans="1:15" x14ac:dyDescent="0.25">
      <c r="A14" s="3"/>
      <c r="B14" s="3"/>
      <c r="C14" s="3"/>
      <c r="D14" s="3"/>
      <c r="E14" s="7" t="str">
        <f t="shared" si="0"/>
        <v/>
      </c>
      <c r="F14" s="3"/>
      <c r="G14" s="3"/>
      <c r="H14" s="3"/>
      <c r="I14" s="3"/>
      <c r="J14" s="8" t="str">
        <f>IF(B14="","",VLOOKUP(A14,'LISTAS + README'!$A$11:$B$17,2,FALSE)*1000+ROW(A14))</f>
        <v/>
      </c>
      <c r="K14" s="8">
        <f t="shared" si="1"/>
        <v>0</v>
      </c>
      <c r="M14" s="16" t="s">
        <v>64</v>
      </c>
      <c r="N14" s="17">
        <f>SUM(N7:N13)</f>
        <v>0</v>
      </c>
      <c r="O14" s="18">
        <v>1</v>
      </c>
    </row>
    <row r="15" spans="1:15" x14ac:dyDescent="0.25">
      <c r="A15" s="3"/>
      <c r="B15" s="3"/>
      <c r="C15" s="3"/>
      <c r="D15" s="3"/>
      <c r="E15" s="7" t="str">
        <f t="shared" si="0"/>
        <v/>
      </c>
      <c r="F15" s="3"/>
      <c r="G15" s="3"/>
      <c r="H15" s="3"/>
      <c r="I15" s="3"/>
      <c r="J15" s="8" t="str">
        <f>IF(B15="","",VLOOKUP(A15,'LISTAS + README'!$A$11:$B$17,2,FALSE)*1000+ROW(A15))</f>
        <v/>
      </c>
      <c r="K15" s="8">
        <f t="shared" si="1"/>
        <v>0</v>
      </c>
    </row>
    <row r="16" spans="1:15" x14ac:dyDescent="0.25">
      <c r="A16" s="3"/>
      <c r="B16" s="3"/>
      <c r="C16" s="3"/>
      <c r="D16" s="3"/>
      <c r="E16" s="7" t="str">
        <f t="shared" si="0"/>
        <v/>
      </c>
      <c r="F16" s="3"/>
      <c r="G16" s="3"/>
      <c r="H16" s="3"/>
      <c r="I16" s="3"/>
      <c r="J16" s="8" t="str">
        <f>IF(B16="","",VLOOKUP(A16,'LISTAS + README'!$A$11:$B$17,2,FALSE)*1000+ROW(A16))</f>
        <v/>
      </c>
      <c r="K16" s="8">
        <f t="shared" si="1"/>
        <v>0</v>
      </c>
    </row>
    <row r="17" spans="1:11" x14ac:dyDescent="0.25">
      <c r="A17" s="3"/>
      <c r="B17" s="3"/>
      <c r="C17" s="3"/>
      <c r="D17" s="3"/>
      <c r="E17" s="7" t="str">
        <f t="shared" si="0"/>
        <v/>
      </c>
      <c r="F17" s="3"/>
      <c r="G17" s="3"/>
      <c r="H17" s="3"/>
      <c r="I17" s="3"/>
      <c r="J17" s="8" t="str">
        <f>IF(B17="","",VLOOKUP(A17,'LISTAS + README'!$A$11:$B$17,2,FALSE)*1000+ROW(A17))</f>
        <v/>
      </c>
      <c r="K17" s="8">
        <f t="shared" si="1"/>
        <v>0</v>
      </c>
    </row>
    <row r="18" spans="1:11" x14ac:dyDescent="0.25">
      <c r="A18" s="3"/>
      <c r="B18" s="3"/>
      <c r="C18" s="3"/>
      <c r="D18" s="3"/>
      <c r="E18" s="7" t="str">
        <f t="shared" si="0"/>
        <v/>
      </c>
      <c r="F18" s="3"/>
      <c r="G18" s="3"/>
      <c r="H18" s="3"/>
      <c r="I18" s="3"/>
      <c r="J18" s="8" t="str">
        <f>IF(B18="","",VLOOKUP(A18,'LISTAS + README'!$A$11:$B$17,2,FALSE)*1000+ROW(A18))</f>
        <v/>
      </c>
      <c r="K18" s="8">
        <f t="shared" si="1"/>
        <v>0</v>
      </c>
    </row>
    <row r="19" spans="1:11" x14ac:dyDescent="0.25">
      <c r="A19" s="3"/>
      <c r="B19" s="3"/>
      <c r="C19" s="3"/>
      <c r="D19" s="3"/>
      <c r="E19" s="7" t="str">
        <f t="shared" si="0"/>
        <v/>
      </c>
      <c r="F19" s="3"/>
      <c r="G19" s="3"/>
      <c r="H19" s="3"/>
      <c r="I19" s="3"/>
      <c r="J19" s="8" t="str">
        <f>IF(B19="","",VLOOKUP(A19,'LISTAS + README'!$A$11:$B$17,2,FALSE)*1000+ROW(A19))</f>
        <v/>
      </c>
      <c r="K19" s="8">
        <f t="shared" si="1"/>
        <v>0</v>
      </c>
    </row>
    <row r="20" spans="1:11" x14ac:dyDescent="0.25">
      <c r="A20" s="3"/>
      <c r="B20" s="3"/>
      <c r="C20" s="3"/>
      <c r="D20" s="3"/>
      <c r="E20" s="7" t="str">
        <f t="shared" si="0"/>
        <v/>
      </c>
      <c r="F20" s="3"/>
      <c r="G20" s="3"/>
      <c r="H20" s="3"/>
      <c r="I20" s="3"/>
      <c r="J20" s="8" t="str">
        <f>IF(B20="","",VLOOKUP(A20,'LISTAS + README'!$A$11:$B$17,2,FALSE)*1000+ROW(A20))</f>
        <v/>
      </c>
      <c r="K20" s="8">
        <f t="shared" si="1"/>
        <v>0</v>
      </c>
    </row>
    <row r="21" spans="1:11" x14ac:dyDescent="0.25">
      <c r="A21" s="3"/>
      <c r="B21" s="3"/>
      <c r="C21" s="3"/>
      <c r="D21" s="3"/>
      <c r="E21" s="7" t="str">
        <f t="shared" si="0"/>
        <v/>
      </c>
      <c r="F21" s="3"/>
      <c r="G21" s="3"/>
      <c r="H21" s="3"/>
      <c r="I21" s="3"/>
      <c r="J21" s="8" t="str">
        <f>IF(B21="","",VLOOKUP(A21,'LISTAS + README'!$A$11:$B$17,2,FALSE)*1000+ROW(A21))</f>
        <v/>
      </c>
      <c r="K21" s="8">
        <f t="shared" si="1"/>
        <v>0</v>
      </c>
    </row>
    <row r="22" spans="1:11" x14ac:dyDescent="0.25">
      <c r="A22" s="3"/>
      <c r="B22" s="3"/>
      <c r="C22" s="3"/>
      <c r="D22" s="3"/>
      <c r="E22" s="7" t="str">
        <f t="shared" si="0"/>
        <v/>
      </c>
      <c r="F22" s="3"/>
      <c r="G22" s="3"/>
      <c r="H22" s="3"/>
      <c r="I22" s="3"/>
      <c r="J22" s="8" t="str">
        <f>IF(B22="","",VLOOKUP(A22,'LISTAS + README'!$A$11:$B$17,2,FALSE)*1000+ROW(A22))</f>
        <v/>
      </c>
      <c r="K22" s="8">
        <f t="shared" si="1"/>
        <v>0</v>
      </c>
    </row>
    <row r="23" spans="1:11" x14ac:dyDescent="0.25">
      <c r="A23" s="3"/>
      <c r="B23" s="3"/>
      <c r="C23" s="3"/>
      <c r="D23" s="3"/>
      <c r="E23" s="7" t="str">
        <f t="shared" si="0"/>
        <v/>
      </c>
      <c r="F23" s="3"/>
      <c r="G23" s="3"/>
      <c r="H23" s="3"/>
      <c r="I23" s="3"/>
      <c r="J23" s="8" t="str">
        <f>IF(B23="","",VLOOKUP(A23,'LISTAS + README'!$A$11:$B$17,2,FALSE)*1000+ROW(A23))</f>
        <v/>
      </c>
      <c r="K23" s="8">
        <f t="shared" si="1"/>
        <v>0</v>
      </c>
    </row>
    <row r="24" spans="1:11" x14ac:dyDescent="0.25">
      <c r="A24" s="3"/>
      <c r="B24" s="3"/>
      <c r="C24" s="3"/>
      <c r="D24" s="3"/>
      <c r="E24" s="7" t="str">
        <f t="shared" si="0"/>
        <v/>
      </c>
      <c r="F24" s="3"/>
      <c r="G24" s="3"/>
      <c r="H24" s="3"/>
      <c r="I24" s="3"/>
      <c r="J24" s="8" t="str">
        <f>IF(B24="","",VLOOKUP(A24,'LISTAS + README'!$A$11:$B$17,2,FALSE)*1000+ROW(A24))</f>
        <v/>
      </c>
      <c r="K24" s="8">
        <f t="shared" si="1"/>
        <v>0</v>
      </c>
    </row>
    <row r="25" spans="1:11" x14ac:dyDescent="0.25">
      <c r="A25" s="3"/>
      <c r="B25" s="3"/>
      <c r="C25" s="3"/>
      <c r="D25" s="3"/>
      <c r="E25" s="7" t="str">
        <f t="shared" si="0"/>
        <v/>
      </c>
      <c r="F25" s="3"/>
      <c r="G25" s="3"/>
      <c r="H25" s="3"/>
      <c r="I25" s="3"/>
      <c r="J25" s="8" t="str">
        <f>IF(B25="","",VLOOKUP(A25,'LISTAS + README'!$A$11:$B$17,2,FALSE)*1000+ROW(A25))</f>
        <v/>
      </c>
      <c r="K25" s="8">
        <f t="shared" si="1"/>
        <v>0</v>
      </c>
    </row>
    <row r="26" spans="1:11" x14ac:dyDescent="0.25">
      <c r="A26" s="3"/>
      <c r="B26" s="3"/>
      <c r="C26" s="3"/>
      <c r="D26" s="3"/>
      <c r="E26" s="7" t="str">
        <f t="shared" si="0"/>
        <v/>
      </c>
      <c r="F26" s="3"/>
      <c r="G26" s="3"/>
      <c r="H26" s="3"/>
      <c r="I26" s="3"/>
      <c r="J26" s="8" t="str">
        <f>IF(B26="","",VLOOKUP(A26,'LISTAS + README'!$A$11:$B$17,2,FALSE)*1000+ROW(A26))</f>
        <v/>
      </c>
      <c r="K26" s="8">
        <f t="shared" si="1"/>
        <v>0</v>
      </c>
    </row>
    <row r="27" spans="1:11" x14ac:dyDescent="0.25">
      <c r="A27" s="3"/>
      <c r="B27" s="3"/>
      <c r="C27" s="3"/>
      <c r="D27" s="3"/>
      <c r="E27" s="7" t="str">
        <f t="shared" si="0"/>
        <v/>
      </c>
      <c r="F27" s="3"/>
      <c r="G27" s="3"/>
      <c r="H27" s="3"/>
      <c r="I27" s="3"/>
      <c r="J27" s="8" t="str">
        <f>IF(B27="","",VLOOKUP(A27,'LISTAS + README'!$A$11:$B$17,2,FALSE)*1000+ROW(A27))</f>
        <v/>
      </c>
      <c r="K27" s="8">
        <f t="shared" si="1"/>
        <v>0</v>
      </c>
    </row>
    <row r="28" spans="1:11" x14ac:dyDescent="0.25">
      <c r="A28" s="3"/>
      <c r="B28" s="3"/>
      <c r="C28" s="3"/>
      <c r="D28" s="3"/>
      <c r="E28" s="7" t="str">
        <f t="shared" si="0"/>
        <v/>
      </c>
      <c r="F28" s="3"/>
      <c r="G28" s="3"/>
      <c r="H28" s="3"/>
      <c r="I28" s="3"/>
      <c r="J28" s="8" t="str">
        <f>IF(B28="","",VLOOKUP(A28,'LISTAS + README'!$A$11:$B$17,2,FALSE)*1000+ROW(A28))</f>
        <v/>
      </c>
      <c r="K28" s="8">
        <f t="shared" si="1"/>
        <v>0</v>
      </c>
    </row>
    <row r="29" spans="1:11" x14ac:dyDescent="0.25">
      <c r="A29" s="3"/>
      <c r="B29" s="3"/>
      <c r="C29" s="3"/>
      <c r="D29" s="3"/>
      <c r="E29" s="7" t="str">
        <f t="shared" si="0"/>
        <v/>
      </c>
      <c r="F29" s="3"/>
      <c r="G29" s="3"/>
      <c r="H29" s="3"/>
      <c r="I29" s="3"/>
      <c r="J29" s="8" t="str">
        <f>IF(B29="","",VLOOKUP(A29,'LISTAS + README'!$A$11:$B$17,2,FALSE)*1000+ROW(A29))</f>
        <v/>
      </c>
      <c r="K29" s="8">
        <f t="shared" si="1"/>
        <v>0</v>
      </c>
    </row>
    <row r="30" spans="1:11" x14ac:dyDescent="0.25">
      <c r="A30" s="3"/>
      <c r="B30" s="3"/>
      <c r="C30" s="3"/>
      <c r="D30" s="3"/>
      <c r="E30" s="7" t="str">
        <f t="shared" si="0"/>
        <v/>
      </c>
      <c r="F30" s="3"/>
      <c r="G30" s="3"/>
      <c r="H30" s="3"/>
      <c r="I30" s="3"/>
      <c r="J30" s="8" t="str">
        <f>IF(B30="","",VLOOKUP(A30,'LISTAS + README'!$A$11:$B$17,2,FALSE)*1000+ROW(A30))</f>
        <v/>
      </c>
      <c r="K30" s="8">
        <f t="shared" si="1"/>
        <v>0</v>
      </c>
    </row>
    <row r="31" spans="1:11" x14ac:dyDescent="0.25">
      <c r="A31" s="3"/>
      <c r="B31" s="3"/>
      <c r="C31" s="3"/>
      <c r="D31" s="3"/>
      <c r="E31" s="7" t="str">
        <f t="shared" si="0"/>
        <v/>
      </c>
      <c r="F31" s="3"/>
      <c r="G31" s="3"/>
      <c r="H31" s="3"/>
      <c r="I31" s="3"/>
      <c r="J31" s="8" t="str">
        <f>IF(B31="","",VLOOKUP(A31,'LISTAS + README'!$A$11:$B$17,2,FALSE)*1000+ROW(A31))</f>
        <v/>
      </c>
      <c r="K31" s="8">
        <f t="shared" si="1"/>
        <v>0</v>
      </c>
    </row>
    <row r="32" spans="1:11" x14ac:dyDescent="0.25">
      <c r="A32" s="3"/>
      <c r="B32" s="3"/>
      <c r="C32" s="3"/>
      <c r="D32" s="3"/>
      <c r="E32" s="7" t="str">
        <f t="shared" si="0"/>
        <v/>
      </c>
      <c r="F32" s="3"/>
      <c r="G32" s="3"/>
      <c r="H32" s="3"/>
      <c r="I32" s="3"/>
      <c r="J32" s="8" t="str">
        <f>IF(B32="","",VLOOKUP(A32,'LISTAS + README'!$A$11:$B$17,2,FALSE)*1000+ROW(A32))</f>
        <v/>
      </c>
      <c r="K32" s="8">
        <f t="shared" si="1"/>
        <v>0</v>
      </c>
    </row>
    <row r="33" spans="1:11" x14ac:dyDescent="0.25">
      <c r="A33" s="3"/>
      <c r="B33" s="3"/>
      <c r="C33" s="3"/>
      <c r="D33" s="3"/>
      <c r="E33" s="7" t="str">
        <f t="shared" si="0"/>
        <v/>
      </c>
      <c r="F33" s="3"/>
      <c r="G33" s="3"/>
      <c r="H33" s="3"/>
      <c r="I33" s="3"/>
      <c r="J33" s="8" t="str">
        <f>IF(B33="","",VLOOKUP(A33,'LISTAS + README'!$A$11:$B$17,2,FALSE)*1000+ROW(A33))</f>
        <v/>
      </c>
      <c r="K33" s="8">
        <f t="shared" si="1"/>
        <v>0</v>
      </c>
    </row>
    <row r="34" spans="1:11" x14ac:dyDescent="0.25">
      <c r="A34" s="3"/>
      <c r="B34" s="3"/>
      <c r="C34" s="3"/>
      <c r="D34" s="3"/>
      <c r="E34" s="7" t="str">
        <f t="shared" si="0"/>
        <v/>
      </c>
      <c r="F34" s="3"/>
      <c r="G34" s="3"/>
      <c r="H34" s="3"/>
      <c r="I34" s="3"/>
      <c r="J34" s="8" t="str">
        <f>IF(B34="","",VLOOKUP(A34,'LISTAS + README'!$A$11:$B$17,2,FALSE)*1000+ROW(A34))</f>
        <v/>
      </c>
      <c r="K34" s="8">
        <f t="shared" si="1"/>
        <v>0</v>
      </c>
    </row>
    <row r="35" spans="1:11" x14ac:dyDescent="0.25">
      <c r="A35" s="3"/>
      <c r="B35" s="3"/>
      <c r="C35" s="3"/>
      <c r="D35" s="3"/>
      <c r="E35" s="7" t="str">
        <f t="shared" si="0"/>
        <v/>
      </c>
      <c r="F35" s="3"/>
      <c r="G35" s="3"/>
      <c r="H35" s="3"/>
      <c r="I35" s="3"/>
      <c r="J35" s="8" t="str">
        <f>IF(B35="","",VLOOKUP(A35,'LISTAS + README'!$A$11:$B$17,2,FALSE)*1000+ROW(A35))</f>
        <v/>
      </c>
      <c r="K35" s="8">
        <f t="shared" si="1"/>
        <v>0</v>
      </c>
    </row>
    <row r="36" spans="1:11" x14ac:dyDescent="0.25">
      <c r="A36" s="3"/>
      <c r="B36" s="3"/>
      <c r="C36" s="3"/>
      <c r="D36" s="3"/>
      <c r="E36" s="7" t="str">
        <f t="shared" si="0"/>
        <v/>
      </c>
      <c r="F36" s="3"/>
      <c r="G36" s="3"/>
      <c r="H36" s="3"/>
      <c r="I36" s="3"/>
      <c r="J36" s="8" t="str">
        <f>IF(B36="","",VLOOKUP(A36,'LISTAS + README'!$A$11:$B$17,2,FALSE)*1000+ROW(A36))</f>
        <v/>
      </c>
      <c r="K36" s="8">
        <f t="shared" si="1"/>
        <v>0</v>
      </c>
    </row>
    <row r="37" spans="1:11" x14ac:dyDescent="0.25">
      <c r="A37" s="3"/>
      <c r="B37" s="3"/>
      <c r="C37" s="3"/>
      <c r="D37" s="3"/>
      <c r="E37" s="7" t="str">
        <f t="shared" si="0"/>
        <v/>
      </c>
      <c r="F37" s="3"/>
      <c r="G37" s="3"/>
      <c r="H37" s="3"/>
      <c r="I37" s="3"/>
      <c r="J37" s="8" t="str">
        <f>IF(B37="","",VLOOKUP(A37,'LISTAS + README'!$A$11:$B$17,2,FALSE)*1000+ROW(A37))</f>
        <v/>
      </c>
      <c r="K37" s="8">
        <f t="shared" si="1"/>
        <v>0</v>
      </c>
    </row>
    <row r="38" spans="1:11" x14ac:dyDescent="0.25">
      <c r="A38" s="3"/>
      <c r="B38" s="3"/>
      <c r="C38" s="3"/>
      <c r="D38" s="3"/>
      <c r="E38" s="7" t="str">
        <f t="shared" ref="E38:E69" si="4">IF(OR(C38="",D38=""),"",C38*D38)</f>
        <v/>
      </c>
      <c r="F38" s="3"/>
      <c r="G38" s="3"/>
      <c r="H38" s="3"/>
      <c r="I38" s="3"/>
      <c r="J38" s="8" t="str">
        <f>IF(B38="","",VLOOKUP(A38,'LISTAS + README'!$A$11:$B$17,2,FALSE)*1000+ROW(A38))</f>
        <v/>
      </c>
      <c r="K38" s="8">
        <f t="shared" ref="K38:K55" si="5">A38</f>
        <v>0</v>
      </c>
    </row>
    <row r="39" spans="1:11" x14ac:dyDescent="0.25">
      <c r="A39" s="3"/>
      <c r="B39" s="3"/>
      <c r="C39" s="3"/>
      <c r="D39" s="3"/>
      <c r="E39" s="7" t="str">
        <f t="shared" si="4"/>
        <v/>
      </c>
      <c r="F39" s="3"/>
      <c r="G39" s="3"/>
      <c r="H39" s="3"/>
      <c r="I39" s="3"/>
      <c r="J39" s="8" t="str">
        <f>IF(B39="","",VLOOKUP(A39,'LISTAS + README'!$A$11:$B$17,2,FALSE)*1000+ROW(A39))</f>
        <v/>
      </c>
      <c r="K39" s="8">
        <f t="shared" si="5"/>
        <v>0</v>
      </c>
    </row>
    <row r="40" spans="1:11" x14ac:dyDescent="0.25">
      <c r="A40" s="3"/>
      <c r="B40" s="3"/>
      <c r="C40" s="3"/>
      <c r="D40" s="3"/>
      <c r="E40" s="7" t="str">
        <f t="shared" si="4"/>
        <v/>
      </c>
      <c r="F40" s="3"/>
      <c r="G40" s="3"/>
      <c r="H40" s="3"/>
      <c r="I40" s="3"/>
      <c r="J40" s="8" t="str">
        <f>IF(B40="","",VLOOKUP(A40,'LISTAS + README'!$A$11:$B$17,2,FALSE)*1000+ROW(A40))</f>
        <v/>
      </c>
      <c r="K40" s="8">
        <f t="shared" si="5"/>
        <v>0</v>
      </c>
    </row>
    <row r="41" spans="1:11" x14ac:dyDescent="0.25">
      <c r="A41" s="3"/>
      <c r="B41" s="3"/>
      <c r="C41" s="3"/>
      <c r="D41" s="3"/>
      <c r="E41" s="7" t="str">
        <f t="shared" si="4"/>
        <v/>
      </c>
      <c r="F41" s="3"/>
      <c r="G41" s="3"/>
      <c r="H41" s="3"/>
      <c r="I41" s="3"/>
      <c r="J41" s="8" t="str">
        <f>IF(B41="","",VLOOKUP(A41,'LISTAS + README'!$A$11:$B$17,2,FALSE)*1000+ROW(A41))</f>
        <v/>
      </c>
      <c r="K41" s="8">
        <f t="shared" si="5"/>
        <v>0</v>
      </c>
    </row>
    <row r="42" spans="1:11" x14ac:dyDescent="0.25">
      <c r="A42" s="3"/>
      <c r="B42" s="3"/>
      <c r="C42" s="3"/>
      <c r="D42" s="3"/>
      <c r="E42" s="7" t="str">
        <f t="shared" si="4"/>
        <v/>
      </c>
      <c r="F42" s="3"/>
      <c r="G42" s="3"/>
      <c r="H42" s="3"/>
      <c r="I42" s="3"/>
      <c r="J42" s="8" t="str">
        <f>IF(B42="","",VLOOKUP(A42,'LISTAS + README'!$A$11:$B$17,2,FALSE)*1000+ROW(A42))</f>
        <v/>
      </c>
      <c r="K42" s="8">
        <f t="shared" si="5"/>
        <v>0</v>
      </c>
    </row>
    <row r="43" spans="1:11" x14ac:dyDescent="0.25">
      <c r="A43" s="3"/>
      <c r="B43" s="3"/>
      <c r="C43" s="3"/>
      <c r="D43" s="3"/>
      <c r="E43" s="7" t="str">
        <f t="shared" si="4"/>
        <v/>
      </c>
      <c r="F43" s="3"/>
      <c r="G43" s="3"/>
      <c r="H43" s="3"/>
      <c r="I43" s="3"/>
      <c r="J43" s="8" t="str">
        <f>IF(B43="","",VLOOKUP(A43,'LISTAS + README'!$A$11:$B$17,2,FALSE)*1000+ROW(A43))</f>
        <v/>
      </c>
      <c r="K43" s="8">
        <f t="shared" si="5"/>
        <v>0</v>
      </c>
    </row>
    <row r="44" spans="1:11" x14ac:dyDescent="0.25">
      <c r="A44" s="3"/>
      <c r="B44" s="3"/>
      <c r="C44" s="3"/>
      <c r="D44" s="3"/>
      <c r="E44" s="7" t="str">
        <f t="shared" si="4"/>
        <v/>
      </c>
      <c r="F44" s="3"/>
      <c r="G44" s="3"/>
      <c r="H44" s="3"/>
      <c r="I44" s="3"/>
      <c r="J44" s="8" t="str">
        <f>IF(B44="","",VLOOKUP(A44,'LISTAS + README'!$A$11:$B$17,2,FALSE)*1000+ROW(A44))</f>
        <v/>
      </c>
      <c r="K44" s="8">
        <f t="shared" si="5"/>
        <v>0</v>
      </c>
    </row>
    <row r="45" spans="1:11" x14ac:dyDescent="0.25">
      <c r="A45" s="3"/>
      <c r="B45" s="3"/>
      <c r="C45" s="3"/>
      <c r="D45" s="3"/>
      <c r="E45" s="7" t="str">
        <f t="shared" si="4"/>
        <v/>
      </c>
      <c r="F45" s="3"/>
      <c r="G45" s="3"/>
      <c r="H45" s="3"/>
      <c r="I45" s="3"/>
      <c r="J45" s="8" t="str">
        <f>IF(B45="","",VLOOKUP(A45,'LISTAS + README'!$A$11:$B$17,2,FALSE)*1000+ROW(A45))</f>
        <v/>
      </c>
      <c r="K45" s="8">
        <f t="shared" si="5"/>
        <v>0</v>
      </c>
    </row>
    <row r="46" spans="1:11" x14ac:dyDescent="0.25">
      <c r="A46" s="3"/>
      <c r="B46" s="3"/>
      <c r="C46" s="3"/>
      <c r="D46" s="3"/>
      <c r="E46" s="7" t="str">
        <f t="shared" si="4"/>
        <v/>
      </c>
      <c r="F46" s="3"/>
      <c r="G46" s="3"/>
      <c r="H46" s="3"/>
      <c r="I46" s="3"/>
      <c r="J46" s="8" t="str">
        <f>IF(B46="","",VLOOKUP(A46,'LISTAS + README'!$A$11:$B$17,2,FALSE)*1000+ROW(A46))</f>
        <v/>
      </c>
      <c r="K46" s="8">
        <f t="shared" si="5"/>
        <v>0</v>
      </c>
    </row>
    <row r="47" spans="1:11" x14ac:dyDescent="0.25">
      <c r="A47" s="3"/>
      <c r="B47" s="3"/>
      <c r="C47" s="3"/>
      <c r="D47" s="3"/>
      <c r="E47" s="7" t="str">
        <f t="shared" si="4"/>
        <v/>
      </c>
      <c r="F47" s="3"/>
      <c r="G47" s="3"/>
      <c r="H47" s="3"/>
      <c r="I47" s="3"/>
      <c r="J47" s="8" t="str">
        <f>IF(B47="","",VLOOKUP(A47,'LISTAS + README'!$A$11:$B$17,2,FALSE)*1000+ROW(A47))</f>
        <v/>
      </c>
      <c r="K47" s="8">
        <f t="shared" si="5"/>
        <v>0</v>
      </c>
    </row>
    <row r="48" spans="1:11" x14ac:dyDescent="0.25">
      <c r="A48" s="3"/>
      <c r="B48" s="3"/>
      <c r="C48" s="3"/>
      <c r="D48" s="3"/>
      <c r="E48" s="7" t="str">
        <f t="shared" si="4"/>
        <v/>
      </c>
      <c r="F48" s="3"/>
      <c r="G48" s="3"/>
      <c r="H48" s="3"/>
      <c r="I48" s="3"/>
      <c r="J48" s="8" t="str">
        <f>IF(B48="","",VLOOKUP(A48,'LISTAS + README'!$A$11:$B$17,2,FALSE)*1000+ROW(A48))</f>
        <v/>
      </c>
      <c r="K48" s="8">
        <f t="shared" si="5"/>
        <v>0</v>
      </c>
    </row>
    <row r="49" spans="1:11" x14ac:dyDescent="0.25">
      <c r="A49" s="3"/>
      <c r="B49" s="3"/>
      <c r="C49" s="3"/>
      <c r="D49" s="3"/>
      <c r="E49" s="7" t="str">
        <f t="shared" si="4"/>
        <v/>
      </c>
      <c r="F49" s="3"/>
      <c r="G49" s="3"/>
      <c r="H49" s="3"/>
      <c r="I49" s="3"/>
      <c r="J49" s="8" t="str">
        <f>IF(B49="","",VLOOKUP(A49,'LISTAS + README'!$A$11:$B$17,2,FALSE)*1000+ROW(A49))</f>
        <v/>
      </c>
      <c r="K49" s="8">
        <f t="shared" si="5"/>
        <v>0</v>
      </c>
    </row>
    <row r="50" spans="1:11" x14ac:dyDescent="0.25">
      <c r="A50" s="3"/>
      <c r="B50" s="3"/>
      <c r="C50" s="3"/>
      <c r="D50" s="3"/>
      <c r="E50" s="7" t="str">
        <f t="shared" si="4"/>
        <v/>
      </c>
      <c r="F50" s="3"/>
      <c r="G50" s="3"/>
      <c r="H50" s="3"/>
      <c r="I50" s="3"/>
      <c r="J50" s="8" t="str">
        <f>IF(B50="","",VLOOKUP(A50,'LISTAS + README'!$A$11:$B$17,2,FALSE)*1000+ROW(A50))</f>
        <v/>
      </c>
      <c r="K50" s="8">
        <f t="shared" si="5"/>
        <v>0</v>
      </c>
    </row>
    <row r="51" spans="1:11" x14ac:dyDescent="0.25">
      <c r="A51" s="3"/>
      <c r="B51" s="3"/>
      <c r="C51" s="3"/>
      <c r="D51" s="3"/>
      <c r="E51" s="7" t="str">
        <f t="shared" si="4"/>
        <v/>
      </c>
      <c r="F51" s="3"/>
      <c r="G51" s="3"/>
      <c r="H51" s="3"/>
      <c r="I51" s="3"/>
      <c r="J51" s="8" t="str">
        <f>IF(B51="","",VLOOKUP(A51,'LISTAS + README'!$A$11:$B$17,2,FALSE)*1000+ROW(A51))</f>
        <v/>
      </c>
      <c r="K51" s="8">
        <f t="shared" si="5"/>
        <v>0</v>
      </c>
    </row>
    <row r="52" spans="1:11" x14ac:dyDescent="0.25">
      <c r="A52" s="3"/>
      <c r="B52" s="3"/>
      <c r="C52" s="3"/>
      <c r="D52" s="3"/>
      <c r="E52" s="7" t="str">
        <f t="shared" si="4"/>
        <v/>
      </c>
      <c r="F52" s="3"/>
      <c r="G52" s="3"/>
      <c r="H52" s="3"/>
      <c r="I52" s="3"/>
      <c r="J52" s="8" t="str">
        <f>IF(B52="","",VLOOKUP(A52,'LISTAS + README'!$A$11:$B$17,2,FALSE)*1000+ROW(A52))</f>
        <v/>
      </c>
      <c r="K52" s="8">
        <f t="shared" si="5"/>
        <v>0</v>
      </c>
    </row>
    <row r="53" spans="1:11" x14ac:dyDescent="0.25">
      <c r="A53" s="3"/>
      <c r="B53" s="3"/>
      <c r="C53" s="3"/>
      <c r="D53" s="3"/>
      <c r="E53" s="7" t="str">
        <f t="shared" si="4"/>
        <v/>
      </c>
      <c r="F53" s="3"/>
      <c r="G53" s="3"/>
      <c r="H53" s="3"/>
      <c r="I53" s="3"/>
      <c r="J53" s="8" t="str">
        <f>IF(B53="","",VLOOKUP(A53,'LISTAS + README'!$A$11:$B$17,2,FALSE)*1000+ROW(A53))</f>
        <v/>
      </c>
      <c r="K53" s="8">
        <f t="shared" si="5"/>
        <v>0</v>
      </c>
    </row>
    <row r="54" spans="1:11" x14ac:dyDescent="0.25">
      <c r="A54" s="3"/>
      <c r="B54" s="3"/>
      <c r="C54" s="3"/>
      <c r="D54" s="3"/>
      <c r="E54" s="7" t="str">
        <f t="shared" si="4"/>
        <v/>
      </c>
      <c r="F54" s="3"/>
      <c r="G54" s="3"/>
      <c r="H54" s="3"/>
      <c r="I54" s="3"/>
      <c r="J54" s="8" t="str">
        <f>IF(B54="","",VLOOKUP(A54,'LISTAS + README'!$A$11:$B$17,2,FALSE)*1000+ROW(A54))</f>
        <v/>
      </c>
      <c r="K54" s="8">
        <f t="shared" si="5"/>
        <v>0</v>
      </c>
    </row>
    <row r="55" spans="1:11" x14ac:dyDescent="0.25">
      <c r="A55" s="3"/>
      <c r="B55" s="3"/>
      <c r="C55" s="3"/>
      <c r="D55" s="3"/>
      <c r="E55" s="7" t="str">
        <f t="shared" si="4"/>
        <v/>
      </c>
      <c r="F55" s="3"/>
      <c r="G55" s="3"/>
      <c r="H55" s="3"/>
      <c r="I55" s="3"/>
      <c r="J55" s="8" t="str">
        <f>IF(B55="","",VLOOKUP(A55,'LISTAS + README'!$A$11:$B$17,2,FALSE)*1000+ROW(A55))</f>
        <v/>
      </c>
      <c r="K55" s="8">
        <f t="shared" si="5"/>
        <v>0</v>
      </c>
    </row>
  </sheetData>
  <mergeCells count="3">
    <mergeCell ref="A1:K1"/>
    <mergeCell ref="M5:O5"/>
    <mergeCell ref="A3:K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'LISTAS + README'!$A$11:$A$17</xm:f>
          </x14:formula1>
          <xm:sqref>A6:A55</xm:sqref>
        </x14:dataValidation>
        <x14:dataValidation type="list" allowBlank="1" xr:uid="{00000000-0002-0000-0200-000001000000}">
          <x14:formula1>
            <xm:f>'LISTAS + README'!$D$11:$D$13</xm:f>
          </x14:formula1>
          <xm:sqref>H6:H55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showGridLines="0" workbookViewId="0">
      <selection sqref="A1:H1"/>
    </sheetView>
  </sheetViews>
  <sheetFormatPr baseColWidth="10" defaultColWidth="9.140625" defaultRowHeight="15" x14ac:dyDescent="0.25"/>
  <cols>
    <col min="1" max="1" width="30" customWidth="1"/>
    <col min="4" max="4" width="60" customWidth="1"/>
  </cols>
  <sheetData>
    <row r="1" spans="1:8" x14ac:dyDescent="0.25">
      <c r="A1" s="32" t="s">
        <v>65</v>
      </c>
      <c r="B1" s="31"/>
      <c r="C1" s="31"/>
      <c r="D1" s="31"/>
      <c r="E1" s="31"/>
      <c r="F1" s="31"/>
      <c r="G1" s="31"/>
      <c r="H1" s="31"/>
    </row>
    <row r="3" spans="1:8" x14ac:dyDescent="0.25">
      <c r="A3" s="30" t="s">
        <v>66</v>
      </c>
      <c r="B3" s="31"/>
      <c r="C3" s="31"/>
      <c r="D3" s="31"/>
      <c r="E3" s="31"/>
      <c r="F3" s="31"/>
      <c r="G3" s="31"/>
      <c r="H3" s="31"/>
    </row>
    <row r="4" spans="1:8" ht="36" customHeight="1" x14ac:dyDescent="0.25">
      <c r="A4" s="36" t="s">
        <v>67</v>
      </c>
      <c r="B4" s="31"/>
      <c r="C4" s="31"/>
      <c r="D4" s="37"/>
      <c r="E4" s="31"/>
      <c r="F4" s="31"/>
      <c r="G4" s="31"/>
      <c r="H4" s="31"/>
    </row>
    <row r="5" spans="1:8" ht="36" customHeight="1" x14ac:dyDescent="0.25">
      <c r="A5" s="36" t="s">
        <v>68</v>
      </c>
      <c r="B5" s="31"/>
      <c r="C5" s="31"/>
      <c r="D5" s="37"/>
      <c r="E5" s="31"/>
      <c r="F5" s="31"/>
      <c r="G5" s="31"/>
      <c r="H5" s="31"/>
    </row>
    <row r="6" spans="1:8" ht="36" customHeight="1" x14ac:dyDescent="0.25">
      <c r="A6" s="36" t="s">
        <v>69</v>
      </c>
      <c r="B6" s="31"/>
      <c r="C6" s="31"/>
      <c r="D6" s="37"/>
      <c r="E6" s="31"/>
      <c r="F6" s="31"/>
      <c r="G6" s="31"/>
      <c r="H6" s="31"/>
    </row>
    <row r="7" spans="1:8" ht="36" customHeight="1" x14ac:dyDescent="0.25">
      <c r="A7" s="36" t="s">
        <v>70</v>
      </c>
      <c r="B7" s="31"/>
      <c r="C7" s="31"/>
      <c r="D7" s="37"/>
      <c r="E7" s="31"/>
      <c r="F7" s="31"/>
      <c r="G7" s="31"/>
      <c r="H7" s="31"/>
    </row>
    <row r="8" spans="1:8" ht="36" customHeight="1" x14ac:dyDescent="0.25">
      <c r="A8" s="36" t="s">
        <v>71</v>
      </c>
      <c r="B8" s="31"/>
      <c r="C8" s="31"/>
      <c r="D8" s="37"/>
      <c r="E8" s="31"/>
      <c r="F8" s="31"/>
      <c r="G8" s="31"/>
      <c r="H8" s="31"/>
    </row>
    <row r="10" spans="1:8" x14ac:dyDescent="0.25">
      <c r="A10" s="30" t="s">
        <v>72</v>
      </c>
      <c r="B10" s="31"/>
      <c r="C10" s="31"/>
      <c r="D10" s="31"/>
      <c r="E10" s="31"/>
      <c r="F10" s="31"/>
      <c r="G10" s="31"/>
      <c r="H10" s="31"/>
    </row>
    <row r="11" spans="1:8" ht="36" customHeight="1" x14ac:dyDescent="0.25">
      <c r="A11" s="36" t="s">
        <v>73</v>
      </c>
      <c r="B11" s="31"/>
      <c r="C11" s="31"/>
      <c r="D11" s="35"/>
      <c r="E11" s="31"/>
      <c r="F11" s="31"/>
      <c r="G11" s="31"/>
      <c r="H11" s="31"/>
    </row>
    <row r="12" spans="1:8" ht="36" customHeight="1" x14ac:dyDescent="0.25">
      <c r="A12" s="36" t="s">
        <v>74</v>
      </c>
      <c r="B12" s="31"/>
      <c r="C12" s="31"/>
      <c r="D12" s="35"/>
      <c r="E12" s="31"/>
      <c r="F12" s="31"/>
      <c r="G12" s="31"/>
      <c r="H12" s="31"/>
    </row>
    <row r="13" spans="1:8" ht="36" customHeight="1" x14ac:dyDescent="0.25">
      <c r="A13" s="36" t="s">
        <v>75</v>
      </c>
      <c r="B13" s="31"/>
      <c r="C13" s="31"/>
      <c r="D13" s="35"/>
      <c r="E13" s="31"/>
      <c r="F13" s="31"/>
      <c r="G13" s="31"/>
      <c r="H13" s="31"/>
    </row>
    <row r="14" spans="1:8" ht="36" customHeight="1" x14ac:dyDescent="0.25">
      <c r="A14" s="36" t="s">
        <v>76</v>
      </c>
      <c r="B14" s="31"/>
      <c r="C14" s="31"/>
      <c r="D14" s="35"/>
      <c r="E14" s="31"/>
      <c r="F14" s="31"/>
      <c r="G14" s="31"/>
      <c r="H14" s="31"/>
    </row>
    <row r="15" spans="1:8" ht="36" customHeight="1" x14ac:dyDescent="0.25">
      <c r="A15" s="36" t="s">
        <v>77</v>
      </c>
      <c r="B15" s="31"/>
      <c r="C15" s="31"/>
      <c r="D15" s="35"/>
      <c r="E15" s="31"/>
      <c r="F15" s="31"/>
      <c r="G15" s="31"/>
      <c r="H15" s="31"/>
    </row>
    <row r="17" spans="1:8" x14ac:dyDescent="0.25">
      <c r="A17" s="30" t="s">
        <v>78</v>
      </c>
      <c r="B17" s="31"/>
      <c r="C17" s="31"/>
      <c r="D17" s="31"/>
      <c r="E17" s="31"/>
      <c r="F17" s="31"/>
      <c r="G17" s="31"/>
      <c r="H17" s="31"/>
    </row>
    <row r="18" spans="1:8" ht="36" customHeight="1" x14ac:dyDescent="0.25">
      <c r="A18" s="36" t="s">
        <v>79</v>
      </c>
      <c r="B18" s="31"/>
      <c r="C18" s="31"/>
      <c r="D18" s="35"/>
      <c r="E18" s="31"/>
      <c r="F18" s="31"/>
      <c r="G18" s="31"/>
      <c r="H18" s="31"/>
    </row>
    <row r="19" spans="1:8" ht="36" customHeight="1" x14ac:dyDescent="0.25">
      <c r="A19" s="36" t="s">
        <v>80</v>
      </c>
      <c r="B19" s="31"/>
      <c r="C19" s="31"/>
      <c r="D19" s="35"/>
      <c r="E19" s="31"/>
      <c r="F19" s="31"/>
      <c r="G19" s="31"/>
      <c r="H19" s="31"/>
    </row>
    <row r="20" spans="1:8" ht="36" customHeight="1" x14ac:dyDescent="0.25">
      <c r="A20" s="36" t="s">
        <v>81</v>
      </c>
      <c r="B20" s="31"/>
      <c r="C20" s="31"/>
      <c r="D20" s="35"/>
      <c r="E20" s="31"/>
      <c r="F20" s="31"/>
      <c r="G20" s="31"/>
      <c r="H20" s="31"/>
    </row>
    <row r="21" spans="1:8" ht="36" customHeight="1" x14ac:dyDescent="0.25">
      <c r="A21" s="36" t="s">
        <v>82</v>
      </c>
      <c r="B21" s="31"/>
      <c r="C21" s="31"/>
      <c r="D21" s="35"/>
      <c r="E21" s="31"/>
      <c r="F21" s="31"/>
      <c r="G21" s="31"/>
      <c r="H21" s="31"/>
    </row>
    <row r="22" spans="1:8" ht="36" customHeight="1" x14ac:dyDescent="0.25">
      <c r="A22" s="36" t="s">
        <v>83</v>
      </c>
      <c r="B22" s="31"/>
      <c r="C22" s="31"/>
      <c r="D22" s="35"/>
      <c r="E22" s="31"/>
      <c r="F22" s="31"/>
      <c r="G22" s="31"/>
      <c r="H22" s="31"/>
    </row>
  </sheetData>
  <mergeCells count="34">
    <mergeCell ref="D14:H14"/>
    <mergeCell ref="A7:C7"/>
    <mergeCell ref="D22:H22"/>
    <mergeCell ref="D21:H21"/>
    <mergeCell ref="D6:H6"/>
    <mergeCell ref="A5:C5"/>
    <mergeCell ref="A8:C8"/>
    <mergeCell ref="A14:C14"/>
    <mergeCell ref="D11:H11"/>
    <mergeCell ref="D13:H13"/>
    <mergeCell ref="A22:C22"/>
    <mergeCell ref="A20:C20"/>
    <mergeCell ref="D7:H7"/>
    <mergeCell ref="A13:C13"/>
    <mergeCell ref="A19:C19"/>
    <mergeCell ref="A15:C15"/>
    <mergeCell ref="D18:H18"/>
    <mergeCell ref="A17:H17"/>
    <mergeCell ref="D20:H20"/>
    <mergeCell ref="D19:H19"/>
    <mergeCell ref="A18:C18"/>
    <mergeCell ref="A21:C21"/>
    <mergeCell ref="A1:H1"/>
    <mergeCell ref="A12:C12"/>
    <mergeCell ref="A4:C4"/>
    <mergeCell ref="A3:H3"/>
    <mergeCell ref="D4:H4"/>
    <mergeCell ref="D12:H12"/>
    <mergeCell ref="D8:H8"/>
    <mergeCell ref="A11:C11"/>
    <mergeCell ref="D15:H15"/>
    <mergeCell ref="A6:C6"/>
    <mergeCell ref="A10:H10"/>
    <mergeCell ref="D5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showGridLines="0" tabSelected="1" workbookViewId="0">
      <selection activeCell="N13" sqref="N13"/>
    </sheetView>
  </sheetViews>
  <sheetFormatPr baseColWidth="10" defaultColWidth="9.140625" defaultRowHeight="15" x14ac:dyDescent="0.25"/>
  <cols>
    <col min="1" max="1" width="14" customWidth="1"/>
    <col min="2" max="2" width="24" customWidth="1"/>
    <col min="3" max="3" width="7" customWidth="1"/>
    <col min="4" max="5" width="9" customWidth="1"/>
    <col min="6" max="6" width="14" customWidth="1"/>
    <col min="7" max="7" width="16" customWidth="1"/>
    <col min="8" max="8" width="10" customWidth="1"/>
  </cols>
  <sheetData>
    <row r="1" spans="1:8" x14ac:dyDescent="0.25">
      <c r="A1" s="40" t="s">
        <v>84</v>
      </c>
      <c r="B1" s="31"/>
      <c r="C1" s="31"/>
      <c r="D1" s="31"/>
      <c r="E1" s="31"/>
      <c r="F1" s="31"/>
      <c r="G1" s="31"/>
      <c r="H1" s="31"/>
    </row>
    <row r="3" spans="1:8" x14ac:dyDescent="0.25">
      <c r="A3" s="33" t="s">
        <v>85</v>
      </c>
      <c r="B3" s="31"/>
      <c r="C3" s="31"/>
      <c r="D3" s="31"/>
      <c r="E3" s="31"/>
      <c r="F3" s="31"/>
      <c r="G3" s="31"/>
      <c r="H3" s="31"/>
    </row>
    <row r="4" spans="1:8" x14ac:dyDescent="0.25">
      <c r="A4" s="2" t="s">
        <v>34</v>
      </c>
      <c r="B4" s="19" t="str">
        <f>IF(IDENTIDAD!B3="","",IDENTIDAD!B3)</f>
        <v/>
      </c>
      <c r="D4" s="2" t="s">
        <v>36</v>
      </c>
      <c r="E4" s="19" t="str">
        <f>IF(IDENTIDAD!B4="","",IDENTIDAD!B4)</f>
        <v/>
      </c>
    </row>
    <row r="5" spans="1:8" x14ac:dyDescent="0.25">
      <c r="A5" s="2" t="s">
        <v>37</v>
      </c>
      <c r="B5" s="19" t="str">
        <f>IF(IDENTIDAD!B5="","",IDENTIDAD!B5)</f>
        <v>PA-001</v>
      </c>
      <c r="D5" s="2" t="s">
        <v>39</v>
      </c>
      <c r="E5" s="19" t="str">
        <f>IF(IDENTIDAD!B6="","",IDENTIDAD!B6)</f>
        <v/>
      </c>
    </row>
    <row r="6" spans="1:8" x14ac:dyDescent="0.25">
      <c r="A6" s="2" t="s">
        <v>86</v>
      </c>
      <c r="B6" s="19" t="str">
        <f>IF(IDENTIDAD!B7="","",IDENTIDAD!B7)</f>
        <v>Remodelación</v>
      </c>
      <c r="D6" s="2" t="s">
        <v>44</v>
      </c>
      <c r="E6" s="20" t="str">
        <f>IF(IDENTIDAD!B11="","",IDENTIDAD!B11)</f>
        <v/>
      </c>
    </row>
    <row r="7" spans="1:8" x14ac:dyDescent="0.25">
      <c r="A7" s="2" t="s">
        <v>87</v>
      </c>
      <c r="B7" s="19" t="str">
        <f>IF(IDENTIDAD!B10="","",IDENTIDAD!B10)</f>
        <v/>
      </c>
      <c r="D7" s="2" t="s">
        <v>88</v>
      </c>
      <c r="E7" s="19" t="str">
        <f>IF(IDENTIDAD!B12="","",IDENTIDAD!B12)</f>
        <v>Brief confirmado</v>
      </c>
    </row>
    <row r="9" spans="1:8" x14ac:dyDescent="0.25">
      <c r="A9" s="33" t="s">
        <v>61</v>
      </c>
      <c r="B9" s="31"/>
      <c r="C9" s="31"/>
      <c r="D9" s="31"/>
    </row>
    <row r="10" spans="1:8" x14ac:dyDescent="0.25">
      <c r="A10" s="21" t="s">
        <v>50</v>
      </c>
      <c r="B10" s="21" t="s">
        <v>62</v>
      </c>
      <c r="C10" s="21" t="s">
        <v>63</v>
      </c>
    </row>
    <row r="11" spans="1:8" x14ac:dyDescent="0.25">
      <c r="A11" s="8" t="s">
        <v>11</v>
      </c>
      <c r="B11" s="22">
        <f>'PROGRAMA ESPACIOS'!N7</f>
        <v>0</v>
      </c>
      <c r="C11" s="23" t="str">
        <f>'PROGRAMA ESPACIOS'!O7</f>
        <v/>
      </c>
    </row>
    <row r="12" spans="1:8" x14ac:dyDescent="0.25">
      <c r="A12" s="8" t="s">
        <v>15</v>
      </c>
      <c r="B12" s="22">
        <f>'PROGRAMA ESPACIOS'!N8</f>
        <v>0</v>
      </c>
      <c r="C12" s="23" t="str">
        <f>'PROGRAMA ESPACIOS'!O8</f>
        <v/>
      </c>
    </row>
    <row r="13" spans="1:8" x14ac:dyDescent="0.25">
      <c r="A13" s="8" t="s">
        <v>19</v>
      </c>
      <c r="B13" s="22">
        <f>'PROGRAMA ESPACIOS'!N9</f>
        <v>0</v>
      </c>
      <c r="C13" s="23" t="str">
        <f>'PROGRAMA ESPACIOS'!O9</f>
        <v/>
      </c>
    </row>
    <row r="14" spans="1:8" x14ac:dyDescent="0.25">
      <c r="A14" s="8" t="s">
        <v>23</v>
      </c>
      <c r="B14" s="22">
        <f>'PROGRAMA ESPACIOS'!N10</f>
        <v>0</v>
      </c>
      <c r="C14" s="23" t="str">
        <f>'PROGRAMA ESPACIOS'!O10</f>
        <v/>
      </c>
    </row>
    <row r="15" spans="1:8" x14ac:dyDescent="0.25">
      <c r="A15" s="8" t="s">
        <v>26</v>
      </c>
      <c r="B15" s="22">
        <f>'PROGRAMA ESPACIOS'!N11</f>
        <v>0</v>
      </c>
      <c r="C15" s="23" t="str">
        <f>'PROGRAMA ESPACIOS'!O11</f>
        <v/>
      </c>
    </row>
    <row r="16" spans="1:8" x14ac:dyDescent="0.25">
      <c r="A16" s="8" t="s">
        <v>27</v>
      </c>
      <c r="B16" s="22">
        <f>'PROGRAMA ESPACIOS'!N12</f>
        <v>0</v>
      </c>
      <c r="C16" s="23" t="str">
        <f>'PROGRAMA ESPACIOS'!O12</f>
        <v/>
      </c>
    </row>
    <row r="17" spans="1:8" x14ac:dyDescent="0.25">
      <c r="A17" s="8" t="s">
        <v>31</v>
      </c>
      <c r="B17" s="22">
        <f>'PROGRAMA ESPACIOS'!N13</f>
        <v>0</v>
      </c>
      <c r="C17" s="23" t="str">
        <f>'PROGRAMA ESPACIOS'!O13</f>
        <v/>
      </c>
    </row>
    <row r="18" spans="1:8" x14ac:dyDescent="0.25">
      <c r="A18" s="24" t="s">
        <v>64</v>
      </c>
      <c r="B18" s="25">
        <f>'PROGRAMA ESPACIOS'!N14</f>
        <v>0</v>
      </c>
      <c r="C18" s="26">
        <v>1</v>
      </c>
    </row>
    <row r="20" spans="1:8" x14ac:dyDescent="0.25">
      <c r="A20" s="33" t="s">
        <v>89</v>
      </c>
      <c r="B20" s="31"/>
      <c r="C20" s="31"/>
      <c r="D20" s="31"/>
      <c r="E20" s="31"/>
      <c r="F20" s="31"/>
      <c r="G20" s="31"/>
      <c r="H20" s="31"/>
    </row>
    <row r="21" spans="1:8" x14ac:dyDescent="0.25">
      <c r="A21" s="27" t="s">
        <v>50</v>
      </c>
      <c r="B21" s="27" t="s">
        <v>51</v>
      </c>
      <c r="C21" s="27" t="s">
        <v>90</v>
      </c>
      <c r="D21" s="27" t="s">
        <v>91</v>
      </c>
      <c r="E21" s="27" t="s">
        <v>92</v>
      </c>
      <c r="F21" s="27" t="s">
        <v>55</v>
      </c>
      <c r="G21" s="27" t="s">
        <v>93</v>
      </c>
      <c r="H21" s="27" t="s">
        <v>94</v>
      </c>
    </row>
    <row r="22" spans="1:8" ht="18" customHeight="1" x14ac:dyDescent="0.25">
      <c r="A22" s="28" t="str">
        <f>IFERROR(INDEX('PROGRAMA ESPACIOS'!$A$6:$A$55,MATCH(SMALL('PROGRAMA ESPACIOS'!$J$6:$J$55,1),'PROGRAMA ESPACIOS'!$J$6:$J$55,0)),"")</f>
        <v/>
      </c>
      <c r="B22" s="28" t="str">
        <f>IF($A22="","",INDEX('PROGRAMA ESPACIOS'!$B$6:$B$55,MATCH(SMALL('PROGRAMA ESPACIOS'!$J$6:$J$55,1),'PROGRAMA ESPACIOS'!$J$6:$J$55,0)))</f>
        <v/>
      </c>
      <c r="C22" s="28" t="str">
        <f>IF($A22="","",INDEX('PROGRAMA ESPACIOS'!$C$6:$C$55,MATCH(SMALL('PROGRAMA ESPACIOS'!$J$6:$J$55,1),'PROGRAMA ESPACIOS'!$J$6:$J$55,0)))</f>
        <v/>
      </c>
      <c r="D22" s="29" t="str">
        <f>IF($A22="","",INDEX('PROGRAMA ESPACIOS'!$D$6:$D$55,MATCH(SMALL('PROGRAMA ESPACIOS'!$J$6:$J$55,1),'PROGRAMA ESPACIOS'!$J$6:$J$55,0)))</f>
        <v/>
      </c>
      <c r="E22" s="29" t="str">
        <f>IF($A22="","",INDEX('PROGRAMA ESPACIOS'!$E$6:$E$55,MATCH(SMALL('PROGRAMA ESPACIOS'!$J$6:$J$55,1),'PROGRAMA ESPACIOS'!$J$6:$J$55,0)))</f>
        <v/>
      </c>
      <c r="F22" s="28" t="str">
        <f>IF($A22="","",INDEX('PROGRAMA ESPACIOS'!$F$6:$F$55,MATCH(SMALL('PROGRAMA ESPACIOS'!$J$6:$J$55,1),'PROGRAMA ESPACIOS'!$J$6:$J$55,0)))</f>
        <v/>
      </c>
      <c r="G22" s="28" t="str">
        <f>IF($A22="","",INDEX('PROGRAMA ESPACIOS'!$G$6:$G$55,MATCH(SMALL('PROGRAMA ESPACIOS'!$J$6:$J$55,1),'PROGRAMA ESPACIOS'!$J$6:$J$55,0)))</f>
        <v/>
      </c>
      <c r="H22" s="28" t="str">
        <f>IF($A22="","",INDEX('PROGRAMA ESPACIOS'!$H$6:$H$55,MATCH(SMALL('PROGRAMA ESPACIOS'!$J$6:$J$55,1),'PROGRAMA ESPACIOS'!$J$6:$J$55,0)))</f>
        <v/>
      </c>
    </row>
    <row r="23" spans="1:8" ht="18" customHeight="1" x14ac:dyDescent="0.25">
      <c r="A23" s="28" t="str">
        <f>IFERROR(INDEX('PROGRAMA ESPACIOS'!$A$6:$A$55,MATCH(SMALL('PROGRAMA ESPACIOS'!$J$6:$J$55,2),'PROGRAMA ESPACIOS'!$J$6:$J$55,0)),"")</f>
        <v/>
      </c>
      <c r="B23" s="28" t="str">
        <f>IF($A23="","",INDEX('PROGRAMA ESPACIOS'!$B$6:$B$55,MATCH(SMALL('PROGRAMA ESPACIOS'!$J$6:$J$55,2),'PROGRAMA ESPACIOS'!$J$6:$J$55,0)))</f>
        <v/>
      </c>
      <c r="C23" s="28" t="str">
        <f>IF($A23="","",INDEX('PROGRAMA ESPACIOS'!$C$6:$C$55,MATCH(SMALL('PROGRAMA ESPACIOS'!$J$6:$J$55,2),'PROGRAMA ESPACIOS'!$J$6:$J$55,0)))</f>
        <v/>
      </c>
      <c r="D23" s="29" t="str">
        <f>IF($A23="","",INDEX('PROGRAMA ESPACIOS'!$D$6:$D$55,MATCH(SMALL('PROGRAMA ESPACIOS'!$J$6:$J$55,2),'PROGRAMA ESPACIOS'!$J$6:$J$55,0)))</f>
        <v/>
      </c>
      <c r="E23" s="29" t="str">
        <f>IF($A23="","",INDEX('PROGRAMA ESPACIOS'!$E$6:$E$55,MATCH(SMALL('PROGRAMA ESPACIOS'!$J$6:$J$55,2),'PROGRAMA ESPACIOS'!$J$6:$J$55,0)))</f>
        <v/>
      </c>
      <c r="F23" s="28" t="str">
        <f>IF($A23="","",INDEX('PROGRAMA ESPACIOS'!$F$6:$F$55,MATCH(SMALL('PROGRAMA ESPACIOS'!$J$6:$J$55,2),'PROGRAMA ESPACIOS'!$J$6:$J$55,0)))</f>
        <v/>
      </c>
      <c r="G23" s="28" t="str">
        <f>IF($A23="","",INDEX('PROGRAMA ESPACIOS'!$G$6:$G$55,MATCH(SMALL('PROGRAMA ESPACIOS'!$J$6:$J$55,2),'PROGRAMA ESPACIOS'!$J$6:$J$55,0)))</f>
        <v/>
      </c>
      <c r="H23" s="28" t="str">
        <f>IF($A23="","",INDEX('PROGRAMA ESPACIOS'!$H$6:$H$55,MATCH(SMALL('PROGRAMA ESPACIOS'!$J$6:$J$55,2),'PROGRAMA ESPACIOS'!$J$6:$J$55,0)))</f>
        <v/>
      </c>
    </row>
    <row r="24" spans="1:8" ht="18" customHeight="1" x14ac:dyDescent="0.25">
      <c r="A24" s="28" t="str">
        <f>IFERROR(INDEX('PROGRAMA ESPACIOS'!$A$6:$A$55,MATCH(SMALL('PROGRAMA ESPACIOS'!$J$6:$J$55,3),'PROGRAMA ESPACIOS'!$J$6:$J$55,0)),"")</f>
        <v/>
      </c>
      <c r="B24" s="28" t="str">
        <f>IF($A24="","",INDEX('PROGRAMA ESPACIOS'!$B$6:$B$55,MATCH(SMALL('PROGRAMA ESPACIOS'!$J$6:$J$55,3),'PROGRAMA ESPACIOS'!$J$6:$J$55,0)))</f>
        <v/>
      </c>
      <c r="C24" s="28" t="str">
        <f>IF($A24="","",INDEX('PROGRAMA ESPACIOS'!$C$6:$C$55,MATCH(SMALL('PROGRAMA ESPACIOS'!$J$6:$J$55,3),'PROGRAMA ESPACIOS'!$J$6:$J$55,0)))</f>
        <v/>
      </c>
      <c r="D24" s="29" t="str">
        <f>IF($A24="","",INDEX('PROGRAMA ESPACIOS'!$D$6:$D$55,MATCH(SMALL('PROGRAMA ESPACIOS'!$J$6:$J$55,3),'PROGRAMA ESPACIOS'!$J$6:$J$55,0)))</f>
        <v/>
      </c>
      <c r="E24" s="29" t="str">
        <f>IF($A24="","",INDEX('PROGRAMA ESPACIOS'!$E$6:$E$55,MATCH(SMALL('PROGRAMA ESPACIOS'!$J$6:$J$55,3),'PROGRAMA ESPACIOS'!$J$6:$J$55,0)))</f>
        <v/>
      </c>
      <c r="F24" s="28" t="str">
        <f>IF($A24="","",INDEX('PROGRAMA ESPACIOS'!$F$6:$F$55,MATCH(SMALL('PROGRAMA ESPACIOS'!$J$6:$J$55,3),'PROGRAMA ESPACIOS'!$J$6:$J$55,0)))</f>
        <v/>
      </c>
      <c r="G24" s="28" t="str">
        <f>IF($A24="","",INDEX('PROGRAMA ESPACIOS'!$G$6:$G$55,MATCH(SMALL('PROGRAMA ESPACIOS'!$J$6:$J$55,3),'PROGRAMA ESPACIOS'!$J$6:$J$55,0)))</f>
        <v/>
      </c>
      <c r="H24" s="28" t="str">
        <f>IF($A24="","",INDEX('PROGRAMA ESPACIOS'!$H$6:$H$55,MATCH(SMALL('PROGRAMA ESPACIOS'!$J$6:$J$55,3),'PROGRAMA ESPACIOS'!$J$6:$J$55,0)))</f>
        <v/>
      </c>
    </row>
    <row r="25" spans="1:8" ht="18" customHeight="1" x14ac:dyDescent="0.25">
      <c r="A25" s="28" t="str">
        <f>IFERROR(INDEX('PROGRAMA ESPACIOS'!$A$6:$A$55,MATCH(SMALL('PROGRAMA ESPACIOS'!$J$6:$J$55,4),'PROGRAMA ESPACIOS'!$J$6:$J$55,0)),"")</f>
        <v/>
      </c>
      <c r="B25" s="28" t="str">
        <f>IF($A25="","",INDEX('PROGRAMA ESPACIOS'!$B$6:$B$55,MATCH(SMALL('PROGRAMA ESPACIOS'!$J$6:$J$55,4),'PROGRAMA ESPACIOS'!$J$6:$J$55,0)))</f>
        <v/>
      </c>
      <c r="C25" s="28" t="str">
        <f>IF($A25="","",INDEX('PROGRAMA ESPACIOS'!$C$6:$C$55,MATCH(SMALL('PROGRAMA ESPACIOS'!$J$6:$J$55,4),'PROGRAMA ESPACIOS'!$J$6:$J$55,0)))</f>
        <v/>
      </c>
      <c r="D25" s="29" t="str">
        <f>IF($A25="","",INDEX('PROGRAMA ESPACIOS'!$D$6:$D$55,MATCH(SMALL('PROGRAMA ESPACIOS'!$J$6:$J$55,4),'PROGRAMA ESPACIOS'!$J$6:$J$55,0)))</f>
        <v/>
      </c>
      <c r="E25" s="29" t="str">
        <f>IF($A25="","",INDEX('PROGRAMA ESPACIOS'!$E$6:$E$55,MATCH(SMALL('PROGRAMA ESPACIOS'!$J$6:$J$55,4),'PROGRAMA ESPACIOS'!$J$6:$J$55,0)))</f>
        <v/>
      </c>
      <c r="F25" s="28" t="str">
        <f>IF($A25="","",INDEX('PROGRAMA ESPACIOS'!$F$6:$F$55,MATCH(SMALL('PROGRAMA ESPACIOS'!$J$6:$J$55,4),'PROGRAMA ESPACIOS'!$J$6:$J$55,0)))</f>
        <v/>
      </c>
      <c r="G25" s="28" t="str">
        <f>IF($A25="","",INDEX('PROGRAMA ESPACIOS'!$G$6:$G$55,MATCH(SMALL('PROGRAMA ESPACIOS'!$J$6:$J$55,4),'PROGRAMA ESPACIOS'!$J$6:$J$55,0)))</f>
        <v/>
      </c>
      <c r="H25" s="28" t="str">
        <f>IF($A25="","",INDEX('PROGRAMA ESPACIOS'!$H$6:$H$55,MATCH(SMALL('PROGRAMA ESPACIOS'!$J$6:$J$55,4),'PROGRAMA ESPACIOS'!$J$6:$J$55,0)))</f>
        <v/>
      </c>
    </row>
    <row r="26" spans="1:8" ht="18" customHeight="1" x14ac:dyDescent="0.25">
      <c r="A26" s="28" t="str">
        <f>IFERROR(INDEX('PROGRAMA ESPACIOS'!$A$6:$A$55,MATCH(SMALL('PROGRAMA ESPACIOS'!$J$6:$J$55,5),'PROGRAMA ESPACIOS'!$J$6:$J$55,0)),"")</f>
        <v/>
      </c>
      <c r="B26" s="28" t="str">
        <f>IF($A26="","",INDEX('PROGRAMA ESPACIOS'!$B$6:$B$55,MATCH(SMALL('PROGRAMA ESPACIOS'!$J$6:$J$55,5),'PROGRAMA ESPACIOS'!$J$6:$J$55,0)))</f>
        <v/>
      </c>
      <c r="C26" s="28" t="str">
        <f>IF($A26="","",INDEX('PROGRAMA ESPACIOS'!$C$6:$C$55,MATCH(SMALL('PROGRAMA ESPACIOS'!$J$6:$J$55,5),'PROGRAMA ESPACIOS'!$J$6:$J$55,0)))</f>
        <v/>
      </c>
      <c r="D26" s="29" t="str">
        <f>IF($A26="","",INDEX('PROGRAMA ESPACIOS'!$D$6:$D$55,MATCH(SMALL('PROGRAMA ESPACIOS'!$J$6:$J$55,5),'PROGRAMA ESPACIOS'!$J$6:$J$55,0)))</f>
        <v/>
      </c>
      <c r="E26" s="29" t="str">
        <f>IF($A26="","",INDEX('PROGRAMA ESPACIOS'!$E$6:$E$55,MATCH(SMALL('PROGRAMA ESPACIOS'!$J$6:$J$55,5),'PROGRAMA ESPACIOS'!$J$6:$J$55,0)))</f>
        <v/>
      </c>
      <c r="F26" s="28" t="str">
        <f>IF($A26="","",INDEX('PROGRAMA ESPACIOS'!$F$6:$F$55,MATCH(SMALL('PROGRAMA ESPACIOS'!$J$6:$J$55,5),'PROGRAMA ESPACIOS'!$J$6:$J$55,0)))</f>
        <v/>
      </c>
      <c r="G26" s="28" t="str">
        <f>IF($A26="","",INDEX('PROGRAMA ESPACIOS'!$G$6:$G$55,MATCH(SMALL('PROGRAMA ESPACIOS'!$J$6:$J$55,5),'PROGRAMA ESPACIOS'!$J$6:$J$55,0)))</f>
        <v/>
      </c>
      <c r="H26" s="28" t="str">
        <f>IF($A26="","",INDEX('PROGRAMA ESPACIOS'!$H$6:$H$55,MATCH(SMALL('PROGRAMA ESPACIOS'!$J$6:$J$55,5),'PROGRAMA ESPACIOS'!$J$6:$J$55,0)))</f>
        <v/>
      </c>
    </row>
    <row r="27" spans="1:8" ht="18" customHeight="1" x14ac:dyDescent="0.25">
      <c r="A27" s="28" t="str">
        <f>IFERROR(INDEX('PROGRAMA ESPACIOS'!$A$6:$A$55,MATCH(SMALL('PROGRAMA ESPACIOS'!$J$6:$J$55,6),'PROGRAMA ESPACIOS'!$J$6:$J$55,0)),"")</f>
        <v/>
      </c>
      <c r="B27" s="28" t="str">
        <f>IF($A27="","",INDEX('PROGRAMA ESPACIOS'!$B$6:$B$55,MATCH(SMALL('PROGRAMA ESPACIOS'!$J$6:$J$55,6),'PROGRAMA ESPACIOS'!$J$6:$J$55,0)))</f>
        <v/>
      </c>
      <c r="C27" s="28" t="str">
        <f>IF($A27="","",INDEX('PROGRAMA ESPACIOS'!$C$6:$C$55,MATCH(SMALL('PROGRAMA ESPACIOS'!$J$6:$J$55,6),'PROGRAMA ESPACIOS'!$J$6:$J$55,0)))</f>
        <v/>
      </c>
      <c r="D27" s="29" t="str">
        <f>IF($A27="","",INDEX('PROGRAMA ESPACIOS'!$D$6:$D$55,MATCH(SMALL('PROGRAMA ESPACIOS'!$J$6:$J$55,6),'PROGRAMA ESPACIOS'!$J$6:$J$55,0)))</f>
        <v/>
      </c>
      <c r="E27" s="29" t="str">
        <f>IF($A27="","",INDEX('PROGRAMA ESPACIOS'!$E$6:$E$55,MATCH(SMALL('PROGRAMA ESPACIOS'!$J$6:$J$55,6),'PROGRAMA ESPACIOS'!$J$6:$J$55,0)))</f>
        <v/>
      </c>
      <c r="F27" s="28" t="str">
        <f>IF($A27="","",INDEX('PROGRAMA ESPACIOS'!$F$6:$F$55,MATCH(SMALL('PROGRAMA ESPACIOS'!$J$6:$J$55,6),'PROGRAMA ESPACIOS'!$J$6:$J$55,0)))</f>
        <v/>
      </c>
      <c r="G27" s="28" t="str">
        <f>IF($A27="","",INDEX('PROGRAMA ESPACIOS'!$G$6:$G$55,MATCH(SMALL('PROGRAMA ESPACIOS'!$J$6:$J$55,6),'PROGRAMA ESPACIOS'!$J$6:$J$55,0)))</f>
        <v/>
      </c>
      <c r="H27" s="28" t="str">
        <f>IF($A27="","",INDEX('PROGRAMA ESPACIOS'!$H$6:$H$55,MATCH(SMALL('PROGRAMA ESPACIOS'!$J$6:$J$55,6),'PROGRAMA ESPACIOS'!$J$6:$J$55,0)))</f>
        <v/>
      </c>
    </row>
    <row r="28" spans="1:8" ht="18" customHeight="1" x14ac:dyDescent="0.25">
      <c r="A28" s="28" t="str">
        <f>IFERROR(INDEX('PROGRAMA ESPACIOS'!$A$6:$A$55,MATCH(SMALL('PROGRAMA ESPACIOS'!$J$6:$J$55,7),'PROGRAMA ESPACIOS'!$J$6:$J$55,0)),"")</f>
        <v/>
      </c>
      <c r="B28" s="28" t="str">
        <f>IF($A28="","",INDEX('PROGRAMA ESPACIOS'!$B$6:$B$55,MATCH(SMALL('PROGRAMA ESPACIOS'!$J$6:$J$55,7),'PROGRAMA ESPACIOS'!$J$6:$J$55,0)))</f>
        <v/>
      </c>
      <c r="C28" s="28" t="str">
        <f>IF($A28="","",INDEX('PROGRAMA ESPACIOS'!$C$6:$C$55,MATCH(SMALL('PROGRAMA ESPACIOS'!$J$6:$J$55,7),'PROGRAMA ESPACIOS'!$J$6:$J$55,0)))</f>
        <v/>
      </c>
      <c r="D28" s="29" t="str">
        <f>IF($A28="","",INDEX('PROGRAMA ESPACIOS'!$D$6:$D$55,MATCH(SMALL('PROGRAMA ESPACIOS'!$J$6:$J$55,7),'PROGRAMA ESPACIOS'!$J$6:$J$55,0)))</f>
        <v/>
      </c>
      <c r="E28" s="29" t="str">
        <f>IF($A28="","",INDEX('PROGRAMA ESPACIOS'!$E$6:$E$55,MATCH(SMALL('PROGRAMA ESPACIOS'!$J$6:$J$55,7),'PROGRAMA ESPACIOS'!$J$6:$J$55,0)))</f>
        <v/>
      </c>
      <c r="F28" s="28" t="str">
        <f>IF($A28="","",INDEX('PROGRAMA ESPACIOS'!$F$6:$F$55,MATCH(SMALL('PROGRAMA ESPACIOS'!$J$6:$J$55,7),'PROGRAMA ESPACIOS'!$J$6:$J$55,0)))</f>
        <v/>
      </c>
      <c r="G28" s="28" t="str">
        <f>IF($A28="","",INDEX('PROGRAMA ESPACIOS'!$G$6:$G$55,MATCH(SMALL('PROGRAMA ESPACIOS'!$J$6:$J$55,7),'PROGRAMA ESPACIOS'!$J$6:$J$55,0)))</f>
        <v/>
      </c>
      <c r="H28" s="28" t="str">
        <f>IF($A28="","",INDEX('PROGRAMA ESPACIOS'!$H$6:$H$55,MATCH(SMALL('PROGRAMA ESPACIOS'!$J$6:$J$55,7),'PROGRAMA ESPACIOS'!$J$6:$J$55,0)))</f>
        <v/>
      </c>
    </row>
    <row r="29" spans="1:8" ht="18" customHeight="1" x14ac:dyDescent="0.25">
      <c r="A29" s="28" t="str">
        <f>IFERROR(INDEX('PROGRAMA ESPACIOS'!$A$6:$A$55,MATCH(SMALL('PROGRAMA ESPACIOS'!$J$6:$J$55,8),'PROGRAMA ESPACIOS'!$J$6:$J$55,0)),"")</f>
        <v/>
      </c>
      <c r="B29" s="28" t="str">
        <f>IF($A29="","",INDEX('PROGRAMA ESPACIOS'!$B$6:$B$55,MATCH(SMALL('PROGRAMA ESPACIOS'!$J$6:$J$55,8),'PROGRAMA ESPACIOS'!$J$6:$J$55,0)))</f>
        <v/>
      </c>
      <c r="C29" s="28" t="str">
        <f>IF($A29="","",INDEX('PROGRAMA ESPACIOS'!$C$6:$C$55,MATCH(SMALL('PROGRAMA ESPACIOS'!$J$6:$J$55,8),'PROGRAMA ESPACIOS'!$J$6:$J$55,0)))</f>
        <v/>
      </c>
      <c r="D29" s="29" t="str">
        <f>IF($A29="","",INDEX('PROGRAMA ESPACIOS'!$D$6:$D$55,MATCH(SMALL('PROGRAMA ESPACIOS'!$J$6:$J$55,8),'PROGRAMA ESPACIOS'!$J$6:$J$55,0)))</f>
        <v/>
      </c>
      <c r="E29" s="29" t="str">
        <f>IF($A29="","",INDEX('PROGRAMA ESPACIOS'!$E$6:$E$55,MATCH(SMALL('PROGRAMA ESPACIOS'!$J$6:$J$55,8),'PROGRAMA ESPACIOS'!$J$6:$J$55,0)))</f>
        <v/>
      </c>
      <c r="F29" s="28" t="str">
        <f>IF($A29="","",INDEX('PROGRAMA ESPACIOS'!$F$6:$F$55,MATCH(SMALL('PROGRAMA ESPACIOS'!$J$6:$J$55,8),'PROGRAMA ESPACIOS'!$J$6:$J$55,0)))</f>
        <v/>
      </c>
      <c r="G29" s="28" t="str">
        <f>IF($A29="","",INDEX('PROGRAMA ESPACIOS'!$G$6:$G$55,MATCH(SMALL('PROGRAMA ESPACIOS'!$J$6:$J$55,8),'PROGRAMA ESPACIOS'!$J$6:$J$55,0)))</f>
        <v/>
      </c>
      <c r="H29" s="28" t="str">
        <f>IF($A29="","",INDEX('PROGRAMA ESPACIOS'!$H$6:$H$55,MATCH(SMALL('PROGRAMA ESPACIOS'!$J$6:$J$55,8),'PROGRAMA ESPACIOS'!$J$6:$J$55,0)))</f>
        <v/>
      </c>
    </row>
    <row r="30" spans="1:8" ht="18" customHeight="1" x14ac:dyDescent="0.25">
      <c r="A30" s="28" t="str">
        <f>IFERROR(INDEX('PROGRAMA ESPACIOS'!$A$6:$A$55,MATCH(SMALL('PROGRAMA ESPACIOS'!$J$6:$J$55,9),'PROGRAMA ESPACIOS'!$J$6:$J$55,0)),"")</f>
        <v/>
      </c>
      <c r="B30" s="28" t="str">
        <f>IF($A30="","",INDEX('PROGRAMA ESPACIOS'!$B$6:$B$55,MATCH(SMALL('PROGRAMA ESPACIOS'!$J$6:$J$55,9),'PROGRAMA ESPACIOS'!$J$6:$J$55,0)))</f>
        <v/>
      </c>
      <c r="C30" s="28" t="str">
        <f>IF($A30="","",INDEX('PROGRAMA ESPACIOS'!$C$6:$C$55,MATCH(SMALL('PROGRAMA ESPACIOS'!$J$6:$J$55,9),'PROGRAMA ESPACIOS'!$J$6:$J$55,0)))</f>
        <v/>
      </c>
      <c r="D30" s="29" t="str">
        <f>IF($A30="","",INDEX('PROGRAMA ESPACIOS'!$D$6:$D$55,MATCH(SMALL('PROGRAMA ESPACIOS'!$J$6:$J$55,9),'PROGRAMA ESPACIOS'!$J$6:$J$55,0)))</f>
        <v/>
      </c>
      <c r="E30" s="29" t="str">
        <f>IF($A30="","",INDEX('PROGRAMA ESPACIOS'!$E$6:$E$55,MATCH(SMALL('PROGRAMA ESPACIOS'!$J$6:$J$55,9),'PROGRAMA ESPACIOS'!$J$6:$J$55,0)))</f>
        <v/>
      </c>
      <c r="F30" s="28" t="str">
        <f>IF($A30="","",INDEX('PROGRAMA ESPACIOS'!$F$6:$F$55,MATCH(SMALL('PROGRAMA ESPACIOS'!$J$6:$J$55,9),'PROGRAMA ESPACIOS'!$J$6:$J$55,0)))</f>
        <v/>
      </c>
      <c r="G30" s="28" t="str">
        <f>IF($A30="","",INDEX('PROGRAMA ESPACIOS'!$G$6:$G$55,MATCH(SMALL('PROGRAMA ESPACIOS'!$J$6:$J$55,9),'PROGRAMA ESPACIOS'!$J$6:$J$55,0)))</f>
        <v/>
      </c>
      <c r="H30" s="28" t="str">
        <f>IF($A30="","",INDEX('PROGRAMA ESPACIOS'!$H$6:$H$55,MATCH(SMALL('PROGRAMA ESPACIOS'!$J$6:$J$55,9),'PROGRAMA ESPACIOS'!$J$6:$J$55,0)))</f>
        <v/>
      </c>
    </row>
    <row r="31" spans="1:8" ht="18" customHeight="1" x14ac:dyDescent="0.25">
      <c r="A31" s="28" t="str">
        <f>IFERROR(INDEX('PROGRAMA ESPACIOS'!$A$6:$A$55,MATCH(SMALL('PROGRAMA ESPACIOS'!$J$6:$J$55,10),'PROGRAMA ESPACIOS'!$J$6:$J$55,0)),"")</f>
        <v/>
      </c>
      <c r="B31" s="28" t="str">
        <f>IF($A31="","",INDEX('PROGRAMA ESPACIOS'!$B$6:$B$55,MATCH(SMALL('PROGRAMA ESPACIOS'!$J$6:$J$55,10),'PROGRAMA ESPACIOS'!$J$6:$J$55,0)))</f>
        <v/>
      </c>
      <c r="C31" s="28" t="str">
        <f>IF($A31="","",INDEX('PROGRAMA ESPACIOS'!$C$6:$C$55,MATCH(SMALL('PROGRAMA ESPACIOS'!$J$6:$J$55,10),'PROGRAMA ESPACIOS'!$J$6:$J$55,0)))</f>
        <v/>
      </c>
      <c r="D31" s="29" t="str">
        <f>IF($A31="","",INDEX('PROGRAMA ESPACIOS'!$D$6:$D$55,MATCH(SMALL('PROGRAMA ESPACIOS'!$J$6:$J$55,10),'PROGRAMA ESPACIOS'!$J$6:$J$55,0)))</f>
        <v/>
      </c>
      <c r="E31" s="29" t="str">
        <f>IF($A31="","",INDEX('PROGRAMA ESPACIOS'!$E$6:$E$55,MATCH(SMALL('PROGRAMA ESPACIOS'!$J$6:$J$55,10),'PROGRAMA ESPACIOS'!$J$6:$J$55,0)))</f>
        <v/>
      </c>
      <c r="F31" s="28" t="str">
        <f>IF($A31="","",INDEX('PROGRAMA ESPACIOS'!$F$6:$F$55,MATCH(SMALL('PROGRAMA ESPACIOS'!$J$6:$J$55,10),'PROGRAMA ESPACIOS'!$J$6:$J$55,0)))</f>
        <v/>
      </c>
      <c r="G31" s="28" t="str">
        <f>IF($A31="","",INDEX('PROGRAMA ESPACIOS'!$G$6:$G$55,MATCH(SMALL('PROGRAMA ESPACIOS'!$J$6:$J$55,10),'PROGRAMA ESPACIOS'!$J$6:$J$55,0)))</f>
        <v/>
      </c>
      <c r="H31" s="28" t="str">
        <f>IF($A31="","",INDEX('PROGRAMA ESPACIOS'!$H$6:$H$55,MATCH(SMALL('PROGRAMA ESPACIOS'!$J$6:$J$55,10),'PROGRAMA ESPACIOS'!$J$6:$J$55,0)))</f>
        <v/>
      </c>
    </row>
    <row r="32" spans="1:8" ht="18" customHeight="1" x14ac:dyDescent="0.25">
      <c r="A32" s="28" t="str">
        <f>IFERROR(INDEX('PROGRAMA ESPACIOS'!$A$6:$A$55,MATCH(SMALL('PROGRAMA ESPACIOS'!$J$6:$J$55,11),'PROGRAMA ESPACIOS'!$J$6:$J$55,0)),"")</f>
        <v/>
      </c>
      <c r="B32" s="28" t="str">
        <f>IF($A32="","",INDEX('PROGRAMA ESPACIOS'!$B$6:$B$55,MATCH(SMALL('PROGRAMA ESPACIOS'!$J$6:$J$55,11),'PROGRAMA ESPACIOS'!$J$6:$J$55,0)))</f>
        <v/>
      </c>
      <c r="C32" s="28" t="str">
        <f>IF($A32="","",INDEX('PROGRAMA ESPACIOS'!$C$6:$C$55,MATCH(SMALL('PROGRAMA ESPACIOS'!$J$6:$J$55,11),'PROGRAMA ESPACIOS'!$J$6:$J$55,0)))</f>
        <v/>
      </c>
      <c r="D32" s="29" t="str">
        <f>IF($A32="","",INDEX('PROGRAMA ESPACIOS'!$D$6:$D$55,MATCH(SMALL('PROGRAMA ESPACIOS'!$J$6:$J$55,11),'PROGRAMA ESPACIOS'!$J$6:$J$55,0)))</f>
        <v/>
      </c>
      <c r="E32" s="29" t="str">
        <f>IF($A32="","",INDEX('PROGRAMA ESPACIOS'!$E$6:$E$55,MATCH(SMALL('PROGRAMA ESPACIOS'!$J$6:$J$55,11),'PROGRAMA ESPACIOS'!$J$6:$J$55,0)))</f>
        <v/>
      </c>
      <c r="F32" s="28" t="str">
        <f>IF($A32="","",INDEX('PROGRAMA ESPACIOS'!$F$6:$F$55,MATCH(SMALL('PROGRAMA ESPACIOS'!$J$6:$J$55,11),'PROGRAMA ESPACIOS'!$J$6:$J$55,0)))</f>
        <v/>
      </c>
      <c r="G32" s="28" t="str">
        <f>IF($A32="","",INDEX('PROGRAMA ESPACIOS'!$G$6:$G$55,MATCH(SMALL('PROGRAMA ESPACIOS'!$J$6:$J$55,11),'PROGRAMA ESPACIOS'!$J$6:$J$55,0)))</f>
        <v/>
      </c>
      <c r="H32" s="28" t="str">
        <f>IF($A32="","",INDEX('PROGRAMA ESPACIOS'!$H$6:$H$55,MATCH(SMALL('PROGRAMA ESPACIOS'!$J$6:$J$55,11),'PROGRAMA ESPACIOS'!$J$6:$J$55,0)))</f>
        <v/>
      </c>
    </row>
    <row r="33" spans="1:8" ht="18" customHeight="1" x14ac:dyDescent="0.25">
      <c r="A33" s="28" t="str">
        <f>IFERROR(INDEX('PROGRAMA ESPACIOS'!$A$6:$A$55,MATCH(SMALL('PROGRAMA ESPACIOS'!$J$6:$J$55,12),'PROGRAMA ESPACIOS'!$J$6:$J$55,0)),"")</f>
        <v/>
      </c>
      <c r="B33" s="28" t="str">
        <f>IF($A33="","",INDEX('PROGRAMA ESPACIOS'!$B$6:$B$55,MATCH(SMALL('PROGRAMA ESPACIOS'!$J$6:$J$55,12),'PROGRAMA ESPACIOS'!$J$6:$J$55,0)))</f>
        <v/>
      </c>
      <c r="C33" s="28" t="str">
        <f>IF($A33="","",INDEX('PROGRAMA ESPACIOS'!$C$6:$C$55,MATCH(SMALL('PROGRAMA ESPACIOS'!$J$6:$J$55,12),'PROGRAMA ESPACIOS'!$J$6:$J$55,0)))</f>
        <v/>
      </c>
      <c r="D33" s="29" t="str">
        <f>IF($A33="","",INDEX('PROGRAMA ESPACIOS'!$D$6:$D$55,MATCH(SMALL('PROGRAMA ESPACIOS'!$J$6:$J$55,12),'PROGRAMA ESPACIOS'!$J$6:$J$55,0)))</f>
        <v/>
      </c>
      <c r="E33" s="29" t="str">
        <f>IF($A33="","",INDEX('PROGRAMA ESPACIOS'!$E$6:$E$55,MATCH(SMALL('PROGRAMA ESPACIOS'!$J$6:$J$55,12),'PROGRAMA ESPACIOS'!$J$6:$J$55,0)))</f>
        <v/>
      </c>
      <c r="F33" s="28" t="str">
        <f>IF($A33="","",INDEX('PROGRAMA ESPACIOS'!$F$6:$F$55,MATCH(SMALL('PROGRAMA ESPACIOS'!$J$6:$J$55,12),'PROGRAMA ESPACIOS'!$J$6:$J$55,0)))</f>
        <v/>
      </c>
      <c r="G33" s="28" t="str">
        <f>IF($A33="","",INDEX('PROGRAMA ESPACIOS'!$G$6:$G$55,MATCH(SMALL('PROGRAMA ESPACIOS'!$J$6:$J$55,12),'PROGRAMA ESPACIOS'!$J$6:$J$55,0)))</f>
        <v/>
      </c>
      <c r="H33" s="28" t="str">
        <f>IF($A33="","",INDEX('PROGRAMA ESPACIOS'!$H$6:$H$55,MATCH(SMALL('PROGRAMA ESPACIOS'!$J$6:$J$55,12),'PROGRAMA ESPACIOS'!$J$6:$J$55,0)))</f>
        <v/>
      </c>
    </row>
    <row r="34" spans="1:8" ht="18" customHeight="1" x14ac:dyDescent="0.25">
      <c r="A34" s="28" t="str">
        <f>IFERROR(INDEX('PROGRAMA ESPACIOS'!$A$6:$A$55,MATCH(SMALL('PROGRAMA ESPACIOS'!$J$6:$J$55,13),'PROGRAMA ESPACIOS'!$J$6:$J$55,0)),"")</f>
        <v/>
      </c>
      <c r="B34" s="28" t="str">
        <f>IF($A34="","",INDEX('PROGRAMA ESPACIOS'!$B$6:$B$55,MATCH(SMALL('PROGRAMA ESPACIOS'!$J$6:$J$55,13),'PROGRAMA ESPACIOS'!$J$6:$J$55,0)))</f>
        <v/>
      </c>
      <c r="C34" s="28" t="str">
        <f>IF($A34="","",INDEX('PROGRAMA ESPACIOS'!$C$6:$C$55,MATCH(SMALL('PROGRAMA ESPACIOS'!$J$6:$J$55,13),'PROGRAMA ESPACIOS'!$J$6:$J$55,0)))</f>
        <v/>
      </c>
      <c r="D34" s="29" t="str">
        <f>IF($A34="","",INDEX('PROGRAMA ESPACIOS'!$D$6:$D$55,MATCH(SMALL('PROGRAMA ESPACIOS'!$J$6:$J$55,13),'PROGRAMA ESPACIOS'!$J$6:$J$55,0)))</f>
        <v/>
      </c>
      <c r="E34" s="29" t="str">
        <f>IF($A34="","",INDEX('PROGRAMA ESPACIOS'!$E$6:$E$55,MATCH(SMALL('PROGRAMA ESPACIOS'!$J$6:$J$55,13),'PROGRAMA ESPACIOS'!$J$6:$J$55,0)))</f>
        <v/>
      </c>
      <c r="F34" s="28" t="str">
        <f>IF($A34="","",INDEX('PROGRAMA ESPACIOS'!$F$6:$F$55,MATCH(SMALL('PROGRAMA ESPACIOS'!$J$6:$J$55,13),'PROGRAMA ESPACIOS'!$J$6:$J$55,0)))</f>
        <v/>
      </c>
      <c r="G34" s="28" t="str">
        <f>IF($A34="","",INDEX('PROGRAMA ESPACIOS'!$G$6:$G$55,MATCH(SMALL('PROGRAMA ESPACIOS'!$J$6:$J$55,13),'PROGRAMA ESPACIOS'!$J$6:$J$55,0)))</f>
        <v/>
      </c>
      <c r="H34" s="28" t="str">
        <f>IF($A34="","",INDEX('PROGRAMA ESPACIOS'!$H$6:$H$55,MATCH(SMALL('PROGRAMA ESPACIOS'!$J$6:$J$55,13),'PROGRAMA ESPACIOS'!$J$6:$J$55,0)))</f>
        <v/>
      </c>
    </row>
    <row r="35" spans="1:8" ht="18" customHeight="1" x14ac:dyDescent="0.25">
      <c r="A35" s="28" t="str">
        <f>IFERROR(INDEX('PROGRAMA ESPACIOS'!$A$6:$A$55,MATCH(SMALL('PROGRAMA ESPACIOS'!$J$6:$J$55,14),'PROGRAMA ESPACIOS'!$J$6:$J$55,0)),"")</f>
        <v/>
      </c>
      <c r="B35" s="28" t="str">
        <f>IF($A35="","",INDEX('PROGRAMA ESPACIOS'!$B$6:$B$55,MATCH(SMALL('PROGRAMA ESPACIOS'!$J$6:$J$55,14),'PROGRAMA ESPACIOS'!$J$6:$J$55,0)))</f>
        <v/>
      </c>
      <c r="C35" s="28" t="str">
        <f>IF($A35="","",INDEX('PROGRAMA ESPACIOS'!$C$6:$C$55,MATCH(SMALL('PROGRAMA ESPACIOS'!$J$6:$J$55,14),'PROGRAMA ESPACIOS'!$J$6:$J$55,0)))</f>
        <v/>
      </c>
      <c r="D35" s="29" t="str">
        <f>IF($A35="","",INDEX('PROGRAMA ESPACIOS'!$D$6:$D$55,MATCH(SMALL('PROGRAMA ESPACIOS'!$J$6:$J$55,14),'PROGRAMA ESPACIOS'!$J$6:$J$55,0)))</f>
        <v/>
      </c>
      <c r="E35" s="29" t="str">
        <f>IF($A35="","",INDEX('PROGRAMA ESPACIOS'!$E$6:$E$55,MATCH(SMALL('PROGRAMA ESPACIOS'!$J$6:$J$55,14),'PROGRAMA ESPACIOS'!$J$6:$J$55,0)))</f>
        <v/>
      </c>
      <c r="F35" s="28" t="str">
        <f>IF($A35="","",INDEX('PROGRAMA ESPACIOS'!$F$6:$F$55,MATCH(SMALL('PROGRAMA ESPACIOS'!$J$6:$J$55,14),'PROGRAMA ESPACIOS'!$J$6:$J$55,0)))</f>
        <v/>
      </c>
      <c r="G35" s="28" t="str">
        <f>IF($A35="","",INDEX('PROGRAMA ESPACIOS'!$G$6:$G$55,MATCH(SMALL('PROGRAMA ESPACIOS'!$J$6:$J$55,14),'PROGRAMA ESPACIOS'!$J$6:$J$55,0)))</f>
        <v/>
      </c>
      <c r="H35" s="28" t="str">
        <f>IF($A35="","",INDEX('PROGRAMA ESPACIOS'!$H$6:$H$55,MATCH(SMALL('PROGRAMA ESPACIOS'!$J$6:$J$55,14),'PROGRAMA ESPACIOS'!$J$6:$J$55,0)))</f>
        <v/>
      </c>
    </row>
    <row r="36" spans="1:8" ht="18" customHeight="1" x14ac:dyDescent="0.25">
      <c r="A36" s="28" t="str">
        <f>IFERROR(INDEX('PROGRAMA ESPACIOS'!$A$6:$A$55,MATCH(SMALL('PROGRAMA ESPACIOS'!$J$6:$J$55,15),'PROGRAMA ESPACIOS'!$J$6:$J$55,0)),"")</f>
        <v/>
      </c>
      <c r="B36" s="28" t="str">
        <f>IF($A36="","",INDEX('PROGRAMA ESPACIOS'!$B$6:$B$55,MATCH(SMALL('PROGRAMA ESPACIOS'!$J$6:$J$55,15),'PROGRAMA ESPACIOS'!$J$6:$J$55,0)))</f>
        <v/>
      </c>
      <c r="C36" s="28" t="str">
        <f>IF($A36="","",INDEX('PROGRAMA ESPACIOS'!$C$6:$C$55,MATCH(SMALL('PROGRAMA ESPACIOS'!$J$6:$J$55,15),'PROGRAMA ESPACIOS'!$J$6:$J$55,0)))</f>
        <v/>
      </c>
      <c r="D36" s="29" t="str">
        <f>IF($A36="","",INDEX('PROGRAMA ESPACIOS'!$D$6:$D$55,MATCH(SMALL('PROGRAMA ESPACIOS'!$J$6:$J$55,15),'PROGRAMA ESPACIOS'!$J$6:$J$55,0)))</f>
        <v/>
      </c>
      <c r="E36" s="29" t="str">
        <f>IF($A36="","",INDEX('PROGRAMA ESPACIOS'!$E$6:$E$55,MATCH(SMALL('PROGRAMA ESPACIOS'!$J$6:$J$55,15),'PROGRAMA ESPACIOS'!$J$6:$J$55,0)))</f>
        <v/>
      </c>
      <c r="F36" s="28" t="str">
        <f>IF($A36="","",INDEX('PROGRAMA ESPACIOS'!$F$6:$F$55,MATCH(SMALL('PROGRAMA ESPACIOS'!$J$6:$J$55,15),'PROGRAMA ESPACIOS'!$J$6:$J$55,0)))</f>
        <v/>
      </c>
      <c r="G36" s="28" t="str">
        <f>IF($A36="","",INDEX('PROGRAMA ESPACIOS'!$G$6:$G$55,MATCH(SMALL('PROGRAMA ESPACIOS'!$J$6:$J$55,15),'PROGRAMA ESPACIOS'!$J$6:$J$55,0)))</f>
        <v/>
      </c>
      <c r="H36" s="28" t="str">
        <f>IF($A36="","",INDEX('PROGRAMA ESPACIOS'!$H$6:$H$55,MATCH(SMALL('PROGRAMA ESPACIOS'!$J$6:$J$55,15),'PROGRAMA ESPACIOS'!$J$6:$J$55,0)))</f>
        <v/>
      </c>
    </row>
    <row r="37" spans="1:8" ht="18" customHeight="1" x14ac:dyDescent="0.25">
      <c r="A37" s="28" t="str">
        <f>IFERROR(INDEX('PROGRAMA ESPACIOS'!$A$6:$A$55,MATCH(SMALL('PROGRAMA ESPACIOS'!$J$6:$J$55,16),'PROGRAMA ESPACIOS'!$J$6:$J$55,0)),"")</f>
        <v/>
      </c>
      <c r="B37" s="28" t="str">
        <f>IF($A37="","",INDEX('PROGRAMA ESPACIOS'!$B$6:$B$55,MATCH(SMALL('PROGRAMA ESPACIOS'!$J$6:$J$55,16),'PROGRAMA ESPACIOS'!$J$6:$J$55,0)))</f>
        <v/>
      </c>
      <c r="C37" s="28" t="str">
        <f>IF($A37="","",INDEX('PROGRAMA ESPACIOS'!$C$6:$C$55,MATCH(SMALL('PROGRAMA ESPACIOS'!$J$6:$J$55,16),'PROGRAMA ESPACIOS'!$J$6:$J$55,0)))</f>
        <v/>
      </c>
      <c r="D37" s="29" t="str">
        <f>IF($A37="","",INDEX('PROGRAMA ESPACIOS'!$D$6:$D$55,MATCH(SMALL('PROGRAMA ESPACIOS'!$J$6:$J$55,16),'PROGRAMA ESPACIOS'!$J$6:$J$55,0)))</f>
        <v/>
      </c>
      <c r="E37" s="29" t="str">
        <f>IF($A37="","",INDEX('PROGRAMA ESPACIOS'!$E$6:$E$55,MATCH(SMALL('PROGRAMA ESPACIOS'!$J$6:$J$55,16),'PROGRAMA ESPACIOS'!$J$6:$J$55,0)))</f>
        <v/>
      </c>
      <c r="F37" s="28" t="str">
        <f>IF($A37="","",INDEX('PROGRAMA ESPACIOS'!$F$6:$F$55,MATCH(SMALL('PROGRAMA ESPACIOS'!$J$6:$J$55,16),'PROGRAMA ESPACIOS'!$J$6:$J$55,0)))</f>
        <v/>
      </c>
      <c r="G37" s="28" t="str">
        <f>IF($A37="","",INDEX('PROGRAMA ESPACIOS'!$G$6:$G$55,MATCH(SMALL('PROGRAMA ESPACIOS'!$J$6:$J$55,16),'PROGRAMA ESPACIOS'!$J$6:$J$55,0)))</f>
        <v/>
      </c>
      <c r="H37" s="28" t="str">
        <f>IF($A37="","",INDEX('PROGRAMA ESPACIOS'!$H$6:$H$55,MATCH(SMALL('PROGRAMA ESPACIOS'!$J$6:$J$55,16),'PROGRAMA ESPACIOS'!$J$6:$J$55,0)))</f>
        <v/>
      </c>
    </row>
    <row r="38" spans="1:8" ht="18" customHeight="1" x14ac:dyDescent="0.25">
      <c r="A38" s="28" t="str">
        <f>IFERROR(INDEX('PROGRAMA ESPACIOS'!$A$6:$A$55,MATCH(SMALL('PROGRAMA ESPACIOS'!$J$6:$J$55,17),'PROGRAMA ESPACIOS'!$J$6:$J$55,0)),"")</f>
        <v/>
      </c>
      <c r="B38" s="28" t="str">
        <f>IF($A38="","",INDEX('PROGRAMA ESPACIOS'!$B$6:$B$55,MATCH(SMALL('PROGRAMA ESPACIOS'!$J$6:$J$55,17),'PROGRAMA ESPACIOS'!$J$6:$J$55,0)))</f>
        <v/>
      </c>
      <c r="C38" s="28" t="str">
        <f>IF($A38="","",INDEX('PROGRAMA ESPACIOS'!$C$6:$C$55,MATCH(SMALL('PROGRAMA ESPACIOS'!$J$6:$J$55,17),'PROGRAMA ESPACIOS'!$J$6:$J$55,0)))</f>
        <v/>
      </c>
      <c r="D38" s="29" t="str">
        <f>IF($A38="","",INDEX('PROGRAMA ESPACIOS'!$D$6:$D$55,MATCH(SMALL('PROGRAMA ESPACIOS'!$J$6:$J$55,17),'PROGRAMA ESPACIOS'!$J$6:$J$55,0)))</f>
        <v/>
      </c>
      <c r="E38" s="29" t="str">
        <f>IF($A38="","",INDEX('PROGRAMA ESPACIOS'!$E$6:$E$55,MATCH(SMALL('PROGRAMA ESPACIOS'!$J$6:$J$55,17),'PROGRAMA ESPACIOS'!$J$6:$J$55,0)))</f>
        <v/>
      </c>
      <c r="F38" s="28" t="str">
        <f>IF($A38="","",INDEX('PROGRAMA ESPACIOS'!$F$6:$F$55,MATCH(SMALL('PROGRAMA ESPACIOS'!$J$6:$J$55,17),'PROGRAMA ESPACIOS'!$J$6:$J$55,0)))</f>
        <v/>
      </c>
      <c r="G38" s="28" t="str">
        <f>IF($A38="","",INDEX('PROGRAMA ESPACIOS'!$G$6:$G$55,MATCH(SMALL('PROGRAMA ESPACIOS'!$J$6:$J$55,17),'PROGRAMA ESPACIOS'!$J$6:$J$55,0)))</f>
        <v/>
      </c>
      <c r="H38" s="28" t="str">
        <f>IF($A38="","",INDEX('PROGRAMA ESPACIOS'!$H$6:$H$55,MATCH(SMALL('PROGRAMA ESPACIOS'!$J$6:$J$55,17),'PROGRAMA ESPACIOS'!$J$6:$J$55,0)))</f>
        <v/>
      </c>
    </row>
    <row r="39" spans="1:8" ht="18" customHeight="1" x14ac:dyDescent="0.25">
      <c r="A39" s="28" t="str">
        <f>IFERROR(INDEX('PROGRAMA ESPACIOS'!$A$6:$A$55,MATCH(SMALL('PROGRAMA ESPACIOS'!$J$6:$J$55,18),'PROGRAMA ESPACIOS'!$J$6:$J$55,0)),"")</f>
        <v/>
      </c>
      <c r="B39" s="28" t="str">
        <f>IF($A39="","",INDEX('PROGRAMA ESPACIOS'!$B$6:$B$55,MATCH(SMALL('PROGRAMA ESPACIOS'!$J$6:$J$55,18),'PROGRAMA ESPACIOS'!$J$6:$J$55,0)))</f>
        <v/>
      </c>
      <c r="C39" s="28" t="str">
        <f>IF($A39="","",INDEX('PROGRAMA ESPACIOS'!$C$6:$C$55,MATCH(SMALL('PROGRAMA ESPACIOS'!$J$6:$J$55,18),'PROGRAMA ESPACIOS'!$J$6:$J$55,0)))</f>
        <v/>
      </c>
      <c r="D39" s="29" t="str">
        <f>IF($A39="","",INDEX('PROGRAMA ESPACIOS'!$D$6:$D$55,MATCH(SMALL('PROGRAMA ESPACIOS'!$J$6:$J$55,18),'PROGRAMA ESPACIOS'!$J$6:$J$55,0)))</f>
        <v/>
      </c>
      <c r="E39" s="29" t="str">
        <f>IF($A39="","",INDEX('PROGRAMA ESPACIOS'!$E$6:$E$55,MATCH(SMALL('PROGRAMA ESPACIOS'!$J$6:$J$55,18),'PROGRAMA ESPACIOS'!$J$6:$J$55,0)))</f>
        <v/>
      </c>
      <c r="F39" s="28" t="str">
        <f>IF($A39="","",INDEX('PROGRAMA ESPACIOS'!$F$6:$F$55,MATCH(SMALL('PROGRAMA ESPACIOS'!$J$6:$J$55,18),'PROGRAMA ESPACIOS'!$J$6:$J$55,0)))</f>
        <v/>
      </c>
      <c r="G39" s="28" t="str">
        <f>IF($A39="","",INDEX('PROGRAMA ESPACIOS'!$G$6:$G$55,MATCH(SMALL('PROGRAMA ESPACIOS'!$J$6:$J$55,18),'PROGRAMA ESPACIOS'!$J$6:$J$55,0)))</f>
        <v/>
      </c>
      <c r="H39" s="28" t="str">
        <f>IF($A39="","",INDEX('PROGRAMA ESPACIOS'!$H$6:$H$55,MATCH(SMALL('PROGRAMA ESPACIOS'!$J$6:$J$55,18),'PROGRAMA ESPACIOS'!$J$6:$J$55,0)))</f>
        <v/>
      </c>
    </row>
    <row r="40" spans="1:8" ht="18" customHeight="1" x14ac:dyDescent="0.25">
      <c r="A40" s="28" t="str">
        <f>IFERROR(INDEX('PROGRAMA ESPACIOS'!$A$6:$A$55,MATCH(SMALL('PROGRAMA ESPACIOS'!$J$6:$J$55,19),'PROGRAMA ESPACIOS'!$J$6:$J$55,0)),"")</f>
        <v/>
      </c>
      <c r="B40" s="28" t="str">
        <f>IF($A40="","",INDEX('PROGRAMA ESPACIOS'!$B$6:$B$55,MATCH(SMALL('PROGRAMA ESPACIOS'!$J$6:$J$55,19),'PROGRAMA ESPACIOS'!$J$6:$J$55,0)))</f>
        <v/>
      </c>
      <c r="C40" s="28" t="str">
        <f>IF($A40="","",INDEX('PROGRAMA ESPACIOS'!$C$6:$C$55,MATCH(SMALL('PROGRAMA ESPACIOS'!$J$6:$J$55,19),'PROGRAMA ESPACIOS'!$J$6:$J$55,0)))</f>
        <v/>
      </c>
      <c r="D40" s="29" t="str">
        <f>IF($A40="","",INDEX('PROGRAMA ESPACIOS'!$D$6:$D$55,MATCH(SMALL('PROGRAMA ESPACIOS'!$J$6:$J$55,19),'PROGRAMA ESPACIOS'!$J$6:$J$55,0)))</f>
        <v/>
      </c>
      <c r="E40" s="29" t="str">
        <f>IF($A40="","",INDEX('PROGRAMA ESPACIOS'!$E$6:$E$55,MATCH(SMALL('PROGRAMA ESPACIOS'!$J$6:$J$55,19),'PROGRAMA ESPACIOS'!$J$6:$J$55,0)))</f>
        <v/>
      </c>
      <c r="F40" s="28" t="str">
        <f>IF($A40="","",INDEX('PROGRAMA ESPACIOS'!$F$6:$F$55,MATCH(SMALL('PROGRAMA ESPACIOS'!$J$6:$J$55,19),'PROGRAMA ESPACIOS'!$J$6:$J$55,0)))</f>
        <v/>
      </c>
      <c r="G40" s="28" t="str">
        <f>IF($A40="","",INDEX('PROGRAMA ESPACIOS'!$G$6:$G$55,MATCH(SMALL('PROGRAMA ESPACIOS'!$J$6:$J$55,19),'PROGRAMA ESPACIOS'!$J$6:$J$55,0)))</f>
        <v/>
      </c>
      <c r="H40" s="28" t="str">
        <f>IF($A40="","",INDEX('PROGRAMA ESPACIOS'!$H$6:$H$55,MATCH(SMALL('PROGRAMA ESPACIOS'!$J$6:$J$55,19),'PROGRAMA ESPACIOS'!$J$6:$J$55,0)))</f>
        <v/>
      </c>
    </row>
    <row r="41" spans="1:8" ht="18" customHeight="1" x14ac:dyDescent="0.25">
      <c r="A41" s="28" t="str">
        <f>IFERROR(INDEX('PROGRAMA ESPACIOS'!$A$6:$A$55,MATCH(SMALL('PROGRAMA ESPACIOS'!$J$6:$J$55,20),'PROGRAMA ESPACIOS'!$J$6:$J$55,0)),"")</f>
        <v/>
      </c>
      <c r="B41" s="28" t="str">
        <f>IF($A41="","",INDEX('PROGRAMA ESPACIOS'!$B$6:$B$55,MATCH(SMALL('PROGRAMA ESPACIOS'!$J$6:$J$55,20),'PROGRAMA ESPACIOS'!$J$6:$J$55,0)))</f>
        <v/>
      </c>
      <c r="C41" s="28" t="str">
        <f>IF($A41="","",INDEX('PROGRAMA ESPACIOS'!$C$6:$C$55,MATCH(SMALL('PROGRAMA ESPACIOS'!$J$6:$J$55,20),'PROGRAMA ESPACIOS'!$J$6:$J$55,0)))</f>
        <v/>
      </c>
      <c r="D41" s="29" t="str">
        <f>IF($A41="","",INDEX('PROGRAMA ESPACIOS'!$D$6:$D$55,MATCH(SMALL('PROGRAMA ESPACIOS'!$J$6:$J$55,20),'PROGRAMA ESPACIOS'!$J$6:$J$55,0)))</f>
        <v/>
      </c>
      <c r="E41" s="29" t="str">
        <f>IF($A41="","",INDEX('PROGRAMA ESPACIOS'!$E$6:$E$55,MATCH(SMALL('PROGRAMA ESPACIOS'!$J$6:$J$55,20),'PROGRAMA ESPACIOS'!$J$6:$J$55,0)))</f>
        <v/>
      </c>
      <c r="F41" s="28" t="str">
        <f>IF($A41="","",INDEX('PROGRAMA ESPACIOS'!$F$6:$F$55,MATCH(SMALL('PROGRAMA ESPACIOS'!$J$6:$J$55,20),'PROGRAMA ESPACIOS'!$J$6:$J$55,0)))</f>
        <v/>
      </c>
      <c r="G41" s="28" t="str">
        <f>IF($A41="","",INDEX('PROGRAMA ESPACIOS'!$G$6:$G$55,MATCH(SMALL('PROGRAMA ESPACIOS'!$J$6:$J$55,20),'PROGRAMA ESPACIOS'!$J$6:$J$55,0)))</f>
        <v/>
      </c>
      <c r="H41" s="28" t="str">
        <f>IF($A41="","",INDEX('PROGRAMA ESPACIOS'!$H$6:$H$55,MATCH(SMALL('PROGRAMA ESPACIOS'!$J$6:$J$55,20),'PROGRAMA ESPACIOS'!$J$6:$J$55,0)))</f>
        <v/>
      </c>
    </row>
    <row r="43" spans="1:8" x14ac:dyDescent="0.25">
      <c r="A43" s="33" t="s">
        <v>95</v>
      </c>
      <c r="B43" s="31"/>
      <c r="C43" s="31"/>
      <c r="D43" s="31"/>
      <c r="E43" s="31"/>
      <c r="F43" s="31"/>
      <c r="G43" s="31"/>
      <c r="H43" s="31"/>
    </row>
    <row r="44" spans="1:8" x14ac:dyDescent="0.25">
      <c r="A44" s="38" t="s">
        <v>96</v>
      </c>
      <c r="B44" s="39"/>
      <c r="C44" s="39"/>
      <c r="D44" s="39"/>
      <c r="E44" s="39" t="s">
        <v>97</v>
      </c>
      <c r="F44" s="39"/>
      <c r="G44" s="39"/>
      <c r="H44" s="39"/>
    </row>
    <row r="45" spans="1:8" x14ac:dyDescent="0.25">
      <c r="A45" s="39"/>
      <c r="B45" s="39"/>
      <c r="C45" s="39"/>
      <c r="D45" s="39"/>
      <c r="E45" s="39" t="s">
        <v>98</v>
      </c>
      <c r="F45" s="39"/>
      <c r="G45" s="39"/>
      <c r="H45" s="39"/>
    </row>
    <row r="46" spans="1:8" x14ac:dyDescent="0.25">
      <c r="A46" s="39"/>
      <c r="B46" s="39"/>
      <c r="C46" s="39"/>
      <c r="D46" s="39"/>
      <c r="E46" s="39" t="s">
        <v>99</v>
      </c>
      <c r="F46" s="39"/>
      <c r="G46" s="39"/>
      <c r="H46" s="39"/>
    </row>
  </sheetData>
  <mergeCells count="9">
    <mergeCell ref="A1:H1"/>
    <mergeCell ref="A3:H3"/>
    <mergeCell ref="A9:D9"/>
    <mergeCell ref="A44:D46"/>
    <mergeCell ref="E45:H45"/>
    <mergeCell ref="A43:H43"/>
    <mergeCell ref="A20:H20"/>
    <mergeCell ref="E44:H44"/>
    <mergeCell ref="E46:H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LISTAS + README</vt:lpstr>
      <vt:lpstr>IDENTIDAD</vt:lpstr>
      <vt:lpstr>PROGRAMA ESPACIOS</vt:lpstr>
      <vt:lpstr>CONDICIONANTES</vt:lpstr>
      <vt:lpstr>PRESENTACION</vt:lpstr>
      <vt:lpstr>PRESENTACION!Área_de_impresión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Matteo matteo Uccelli meneses</cp:lastModifiedBy>
  <dcterms:modified xsi:type="dcterms:W3CDTF">2026-03-19T20:52:23Z</dcterms:modified>
</cp:coreProperties>
</file>