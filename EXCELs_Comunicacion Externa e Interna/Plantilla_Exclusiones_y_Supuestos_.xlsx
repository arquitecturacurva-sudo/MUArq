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C019B1D-329F-417B-BC27-6B24292BBFA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STAS + README" sheetId="1" r:id="rId1"/>
    <sheet name="TRABAJO" sheetId="2" r:id="rId2"/>
    <sheet name="PRESENTACION" sheetId="3" r:id="rId3"/>
  </sheets>
  <definedNames>
    <definedName name="_xlnm.Print_Area" localSheetId="2">PRESENTACION!$A$1:$D$51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L35" i="2"/>
  <c r="K35" i="2"/>
  <c r="J35" i="2"/>
  <c r="F35" i="2"/>
  <c r="L34" i="2"/>
  <c r="K34" i="2"/>
  <c r="J34" i="2"/>
  <c r="F34" i="2"/>
  <c r="L33" i="2"/>
  <c r="K33" i="2"/>
  <c r="J33" i="2"/>
  <c r="F33" i="2"/>
  <c r="L32" i="2"/>
  <c r="K32" i="2"/>
  <c r="J32" i="2"/>
  <c r="F32" i="2"/>
  <c r="L31" i="2"/>
  <c r="K31" i="2"/>
  <c r="J31" i="2"/>
  <c r="F31" i="2"/>
  <c r="L30" i="2"/>
  <c r="K30" i="2"/>
  <c r="J30" i="2"/>
  <c r="F30" i="2"/>
  <c r="L29" i="2"/>
  <c r="K29" i="2"/>
  <c r="J29" i="2"/>
  <c r="F29" i="2"/>
  <c r="L28" i="2"/>
  <c r="K28" i="2"/>
  <c r="J28" i="2"/>
  <c r="F28" i="2"/>
  <c r="L27" i="2"/>
  <c r="K27" i="2"/>
  <c r="J27" i="2"/>
  <c r="F27" i="2"/>
  <c r="L26" i="2"/>
  <c r="K26" i="2"/>
  <c r="J26" i="2"/>
  <c r="F26" i="2"/>
  <c r="L25" i="2"/>
  <c r="K25" i="2"/>
  <c r="J25" i="2"/>
  <c r="F25" i="2"/>
  <c r="L24" i="2"/>
  <c r="K24" i="2"/>
  <c r="J24" i="2"/>
  <c r="F24" i="2"/>
  <c r="L23" i="2"/>
  <c r="K23" i="2"/>
  <c r="J23" i="2"/>
  <c r="F23" i="2"/>
  <c r="L22" i="2"/>
  <c r="K22" i="2"/>
  <c r="J22" i="2"/>
  <c r="F22" i="2"/>
  <c r="L21" i="2"/>
  <c r="K21" i="2"/>
  <c r="J21" i="2"/>
  <c r="F21" i="2"/>
  <c r="L20" i="2"/>
  <c r="K20" i="2"/>
  <c r="J20" i="2"/>
  <c r="F20" i="2"/>
  <c r="L19" i="2"/>
  <c r="K19" i="2"/>
  <c r="J19" i="2"/>
  <c r="F19" i="2"/>
  <c r="L18" i="2"/>
  <c r="K18" i="2"/>
  <c r="J18" i="2"/>
  <c r="F18" i="2"/>
  <c r="L17" i="2"/>
  <c r="K17" i="2"/>
  <c r="J17" i="2"/>
  <c r="F17" i="2"/>
  <c r="L16" i="2"/>
  <c r="K16" i="2"/>
  <c r="J16" i="2"/>
  <c r="F16" i="2"/>
  <c r="L15" i="2"/>
  <c r="K15" i="2"/>
  <c r="J15" i="2"/>
  <c r="F15" i="2"/>
  <c r="L14" i="2"/>
  <c r="K14" i="2"/>
  <c r="J14" i="2"/>
  <c r="F14" i="2"/>
  <c r="L13" i="2"/>
  <c r="K13" i="2"/>
  <c r="J13" i="2"/>
  <c r="F13" i="2"/>
  <c r="L12" i="2"/>
  <c r="K12" i="2"/>
  <c r="J12" i="2"/>
  <c r="F12" i="2"/>
  <c r="A40" i="3" l="1"/>
  <c r="C40" i="3" s="1"/>
  <c r="A19" i="3"/>
  <c r="B19" i="3" s="1"/>
  <c r="A28" i="3"/>
  <c r="B28" i="3" s="1"/>
  <c r="A31" i="3"/>
  <c r="B31" i="3" s="1"/>
  <c r="A46" i="3"/>
  <c r="C46" i="3" s="1"/>
  <c r="A37" i="3"/>
  <c r="B37" i="3" s="1"/>
  <c r="A20" i="3"/>
  <c r="C20" i="3" s="1"/>
  <c r="A16" i="3"/>
  <c r="C16" i="3" s="1"/>
  <c r="A25" i="3"/>
  <c r="A32" i="3"/>
  <c r="A42" i="3"/>
  <c r="A26" i="3"/>
  <c r="A33" i="3"/>
  <c r="A18" i="3"/>
  <c r="A27" i="3"/>
  <c r="A34" i="3"/>
  <c r="A29" i="3"/>
  <c r="A44" i="3"/>
  <c r="A21" i="3"/>
  <c r="A45" i="3"/>
  <c r="A17" i="3"/>
  <c r="A41" i="3"/>
  <c r="A43" i="3"/>
  <c r="A14" i="3"/>
  <c r="A38" i="3"/>
  <c r="A15" i="3"/>
  <c r="A39" i="3"/>
  <c r="A22" i="3"/>
  <c r="A13" i="3"/>
  <c r="A30" i="3"/>
  <c r="B16" i="3" l="1"/>
  <c r="C28" i="3"/>
  <c r="C31" i="3"/>
  <c r="C37" i="3"/>
  <c r="C19" i="3"/>
  <c r="B40" i="3"/>
  <c r="B46" i="3"/>
  <c r="B20" i="3"/>
  <c r="C33" i="3"/>
  <c r="B33" i="3"/>
  <c r="B13" i="3"/>
  <c r="C13" i="3"/>
  <c r="B32" i="3"/>
  <c r="C32" i="3"/>
  <c r="C15" i="3"/>
  <c r="B15" i="3"/>
  <c r="C14" i="3"/>
  <c r="B14" i="3"/>
  <c r="B41" i="3"/>
  <c r="C41" i="3"/>
  <c r="B45" i="3"/>
  <c r="C45" i="3"/>
  <c r="C26" i="3"/>
  <c r="B26" i="3"/>
  <c r="B22" i="3"/>
  <c r="C22" i="3"/>
  <c r="C38" i="3"/>
  <c r="B38" i="3"/>
  <c r="C30" i="3"/>
  <c r="B30" i="3"/>
  <c r="C25" i="3"/>
  <c r="B25" i="3"/>
  <c r="C42" i="3"/>
  <c r="B42" i="3"/>
  <c r="C39" i="3"/>
  <c r="B39" i="3"/>
  <c r="C43" i="3"/>
  <c r="B43" i="3"/>
  <c r="B17" i="3"/>
  <c r="C17" i="3"/>
  <c r="C21" i="3"/>
  <c r="B21" i="3"/>
  <c r="C44" i="3"/>
  <c r="B44" i="3"/>
  <c r="B29" i="3"/>
  <c r="C29" i="3"/>
  <c r="B34" i="3"/>
  <c r="C34" i="3"/>
  <c r="C27" i="3"/>
  <c r="B27" i="3"/>
  <c r="C18" i="3"/>
  <c r="B18" i="3"/>
</calcChain>
</file>

<file path=xl/sharedStrings.xml><?xml version="1.0" encoding="utf-8"?>
<sst xmlns="http://schemas.openxmlformats.org/spreadsheetml/2006/main" count="321" uniqueCount="97">
  <si>
    <t>README</t>
  </si>
  <si>
    <t>3. En 'Estado' define si cada ítem es Excluido, Supuesto o Revisión.</t>
  </si>
  <si>
    <t>LISTA_ESTADOS</t>
  </si>
  <si>
    <t>LISTA_SI_NO</t>
  </si>
  <si>
    <t>LISTA_CATEGORIAS</t>
  </si>
  <si>
    <t>BIBLIOTECA_BASE</t>
  </si>
  <si>
    <t>Excluido</t>
  </si>
  <si>
    <t>Sí</t>
  </si>
  <si>
    <t>Exclusiones generales</t>
  </si>
  <si>
    <t>Categoría</t>
  </si>
  <si>
    <t>Ítem</t>
  </si>
  <si>
    <t>Texto base sugerido</t>
  </si>
  <si>
    <t>Supuesto</t>
  </si>
  <si>
    <t>No</t>
  </si>
  <si>
    <t>Exclusiones específicas</t>
  </si>
  <si>
    <t>Trámites y licencias</t>
  </si>
  <si>
    <t>No incluye gestión municipal, licencias ni aprobación ante entidades.</t>
  </si>
  <si>
    <t>Revisión</t>
  </si>
  <si>
    <t>Supuestos técnicos</t>
  </si>
  <si>
    <t>Tasas y derechos</t>
  </si>
  <si>
    <t>No incluye pagos por tasas, derechos, impuestos ni costos municipales.</t>
  </si>
  <si>
    <t>Supuestos comerciales</t>
  </si>
  <si>
    <t>Topografía / estudios previos</t>
  </si>
  <si>
    <t>No incluye levantamiento topográfico, mecánica de suelos ni estudios especializados.</t>
  </si>
  <si>
    <t>Supuestos de plazo</t>
  </si>
  <si>
    <t>Especialidades</t>
  </si>
  <si>
    <t>No incluye desarrollo de estructuras, sanitarias, eléctricas, HVAC u otras especialidades.</t>
  </si>
  <si>
    <t>Eventos de recotización</t>
  </si>
  <si>
    <t>Mobiliario y equipamiento</t>
  </si>
  <si>
    <t>No incluye mobiliario suelto, equipamiento ni compras directas.</t>
  </si>
  <si>
    <t>Paisajismo / señalética / branding</t>
  </si>
  <si>
    <t>No incluye diseño de paisaje, branding, señalética ni gráfica ambiental.</t>
  </si>
  <si>
    <t>Renders extra / impresiones</t>
  </si>
  <si>
    <t>No incluye visualizaciones adicionales ni impresiones físicas fuera de lo acordado.</t>
  </si>
  <si>
    <t>Supervisión permanente / ejecución</t>
  </si>
  <si>
    <t>No incluye ejecución de obra, administración integral ni presencia permanente en campo.</t>
  </si>
  <si>
    <t>Intervenciones fuera del área definida</t>
  </si>
  <si>
    <t>No incluye áreas no contempladas expresamente en el alcance base.</t>
  </si>
  <si>
    <t>Requerimientos no informados al inicio</t>
  </si>
  <si>
    <t>No incluye exigencias o partidas que no hayan sido informadas al momento de cotizar.</t>
  </si>
  <si>
    <t>Información base entregada por el cliente</t>
  </si>
  <si>
    <t>Se asume que medidas, planos y data base entregada por el cliente son suficientes y confiables.</t>
  </si>
  <si>
    <t>Condiciones existentes regulares</t>
  </si>
  <si>
    <t>Se asume que el inmueble no presenta contingencias ocultas no visibles al momento de la propuesta.</t>
  </si>
  <si>
    <t>Acceso y levantamiento</t>
  </si>
  <si>
    <t>Se asume acceso razonable al inmueble para visitas, levantamiento y validaciones.</t>
  </si>
  <si>
    <t>Número de reuniones</t>
  </si>
  <si>
    <t>Se asume un número acotado de reuniones según la cotización aprobada.</t>
  </si>
  <si>
    <t>Número de revisiones</t>
  </si>
  <si>
    <t>Se asume un máximo de rondas de cambios/revisión según lo ofertado.</t>
  </si>
  <si>
    <t>Aprobaciones por etapa</t>
  </si>
  <si>
    <t>Se asume que el cliente valida cada etapa antes de avanzar a la siguiente.</t>
  </si>
  <si>
    <t>Cambios fuera de alcance</t>
  </si>
  <si>
    <t>Todo cambio fuera del alcance aprobado se cotiza aparte.</t>
  </si>
  <si>
    <t>Inicio sujeto a adelanto o aprobación</t>
  </si>
  <si>
    <t>El inicio corre desde la aprobación formal y/o pago inicial.</t>
  </si>
  <si>
    <t>Retroalimentación oportuna del cliente</t>
  </si>
  <si>
    <t>Los plazos suponen respuestas y validaciones del cliente dentro de tiempos razonables.</t>
  </si>
  <si>
    <t>Terceros y entidades externas</t>
  </si>
  <si>
    <t>No se consideran demoras atribuibles a terceros, proveedores, comités o entidades.</t>
  </si>
  <si>
    <t>Cambio de alcance</t>
  </si>
  <si>
    <t>Cualquier cambio de alcance, área o nivel de detalle genera recotización.</t>
  </si>
  <si>
    <t>Nuevas especialidades o visitas</t>
  </si>
  <si>
    <t>Nuevas especialidades, visitas extra o reuniones extraordinarias generan adicional.</t>
  </si>
  <si>
    <t>Rediseño tras aprobación</t>
  </si>
  <si>
    <t>Cambios posteriores a una aprobación de etapa se consideran trabajo adicional.</t>
  </si>
  <si>
    <t>Información base incorrecta</t>
  </si>
  <si>
    <t>Errores u omisiones en la información base que alteren el servicio generan ajuste económico/plazo.</t>
  </si>
  <si>
    <t>PLANTILLA DE EXCLUSIONES Y SUPUESTOS</t>
  </si>
  <si>
    <t>Cliente</t>
  </si>
  <si>
    <t>Proyecto</t>
  </si>
  <si>
    <t>Código</t>
  </si>
  <si>
    <t>Fecha</t>
  </si>
  <si>
    <t>Responsable</t>
  </si>
  <si>
    <t>INSTRUCCIÓN</t>
  </si>
  <si>
    <t>Usa solo 'Mostrar al cliente' para decidir qué ítems aparecen en la presentación.</t>
  </si>
  <si>
    <t>Estado</t>
  </si>
  <si>
    <t>Mostrar al cliente</t>
  </si>
  <si>
    <t>Prioridad</t>
  </si>
  <si>
    <t>Texto final para cliente</t>
  </si>
  <si>
    <t>Texto base</t>
  </si>
  <si>
    <t>Seq_Excluido</t>
  </si>
  <si>
    <t>Seq_Supuesto</t>
  </si>
  <si>
    <t>Seq_Revision</t>
  </si>
  <si>
    <t>Media</t>
  </si>
  <si>
    <t>EXCLUSIONES Y SUPUESTOS</t>
  </si>
  <si>
    <t>OBJETO</t>
  </si>
  <si>
    <t>EXCLUSIONES</t>
  </si>
  <si>
    <t>SUPUESTOS</t>
  </si>
  <si>
    <t>EVENTOS QUE GENERAN RECOTIZACIÓN</t>
  </si>
  <si>
    <t>NOTA</t>
  </si>
  <si>
    <t>Este formato no reemplaza la cotización ni el contrato. Sirve para delimitar con claridad exclusiones, supuestos y eventos que podrían generar ajustes.</t>
  </si>
  <si>
    <t xml:space="preserve">Este documento delimita las exclusiones y los supuestos base considerados para la oferta o propuesta económica del encargo. </t>
  </si>
  <si>
    <r>
      <t xml:space="preserve">4. En 'Mostrar al cliente', deja Sí solo en lo que quieras que aparezca en </t>
    </r>
    <r>
      <rPr>
        <b/>
        <sz val="16"/>
        <color theme="1"/>
        <rFont val="Calibri"/>
        <family val="2"/>
        <scheme val="minor"/>
      </rPr>
      <t>PRESENTACION</t>
    </r>
    <r>
      <rPr>
        <sz val="16"/>
        <color theme="1"/>
        <rFont val="Calibri"/>
        <family val="2"/>
        <scheme val="minor"/>
      </rPr>
      <t>.</t>
    </r>
  </si>
  <si>
    <r>
      <t xml:space="preserve">1. Llena los datos del proyecto en la hoja </t>
    </r>
    <r>
      <rPr>
        <b/>
        <sz val="16"/>
        <color theme="1"/>
        <rFont val="Calibri"/>
        <family val="2"/>
        <scheme val="minor"/>
      </rPr>
      <t>TRABAJO</t>
    </r>
    <r>
      <rPr>
        <sz val="16"/>
        <color theme="1"/>
        <rFont val="Calibri"/>
        <family val="2"/>
        <scheme val="minor"/>
      </rPr>
      <t>.</t>
    </r>
  </si>
  <si>
    <r>
      <t xml:space="preserve">6. La hoja </t>
    </r>
    <r>
      <rPr>
        <b/>
        <sz val="16"/>
        <color theme="1"/>
        <rFont val="Calibri"/>
        <family val="2"/>
        <scheme val="minor"/>
      </rPr>
      <t>PRESENTACION</t>
    </r>
    <r>
      <rPr>
        <sz val="16"/>
        <color theme="1"/>
        <rFont val="Calibri"/>
        <family val="2"/>
        <scheme val="minor"/>
      </rPr>
      <t xml:space="preserve"> usa fórmulas compatibles con Excel clásico.</t>
    </r>
  </si>
  <si>
    <r>
      <t xml:space="preserve">5. Si hay alguna exclusión o supuesto que precisar, hazlo directamente en la hoja </t>
    </r>
    <r>
      <rPr>
        <b/>
        <sz val="16"/>
        <color theme="1"/>
        <rFont val="Calibri"/>
        <family val="2"/>
        <scheme val="minor"/>
      </rPr>
      <t>PRESENTACION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</si>
</sst>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6"/>
      <color rgb="FFFFFFFF"/>
      <name val="Calibri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C8A45D"/>
      </patternFill>
    </fill>
    <fill>
      <patternFill patternType="solid">
        <fgColor rgb="FFF7F4EE"/>
      </patternFill>
    </fill>
    <fill>
      <patternFill patternType="solid">
        <fgColor rgb="FFFBFBFB"/>
      </patternFill>
    </fill>
  </fills>
  <borders count="12">
    <border>
      <left/>
      <right/>
      <top/>
      <bottom/>
      <diagonal/>
    </border>
    <border>
      <left/>
      <right/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/>
      <right/>
      <top/>
      <bottom style="thin">
        <color rgb="FFC9C9C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0" borderId="0" xfId="0" applyFont="1"/>
    <xf numFmtId="0" fontId="5" fillId="4" borderId="0" xfId="0" applyFont="1" applyFill="1" applyAlignment="1">
      <alignment wrapText="1"/>
    </xf>
    <xf numFmtId="0" fontId="2" fillId="5" borderId="0" xfId="0" applyFont="1" applyFill="1"/>
    <xf numFmtId="0" fontId="2" fillId="2" borderId="0" xfId="0" applyFont="1" applyFill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7" borderId="1" xfId="0" applyFont="1" applyFill="1" applyBorder="1" applyAlignment="1">
      <alignment horizontal="center"/>
    </xf>
    <xf numFmtId="0" fontId="0" fillId="7" borderId="1" xfId="0" applyFill="1" applyBorder="1"/>
    <xf numFmtId="0" fontId="0" fillId="6" borderId="0" xfId="0" applyFill="1" applyAlignment="1">
      <alignment wrapText="1"/>
    </xf>
    <xf numFmtId="0" fontId="0" fillId="0" borderId="0" xfId="0"/>
    <xf numFmtId="0" fontId="1" fillId="2" borderId="0" xfId="0" applyFont="1" applyFill="1"/>
    <xf numFmtId="0" fontId="0" fillId="7" borderId="3" xfId="0" applyFill="1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vertical="top" wrapText="1"/>
    </xf>
    <xf numFmtId="0" fontId="2" fillId="5" borderId="0" xfId="0" applyFont="1" applyFill="1"/>
    <xf numFmtId="0" fontId="2" fillId="2" borderId="0" xfId="0" applyFont="1" applyFill="1"/>
    <xf numFmtId="0" fontId="7" fillId="2" borderId="0" xfId="0" applyFont="1" applyFill="1" applyAlignment="1">
      <alignment horizontal="center"/>
    </xf>
    <xf numFmtId="0" fontId="0" fillId="7" borderId="4" xfId="0" applyFill="1" applyBorder="1" applyAlignment="1">
      <alignment vertical="top" wrapText="1"/>
    </xf>
    <xf numFmtId="0" fontId="0" fillId="7" borderId="5" xfId="0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5" fillId="4" borderId="0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7" borderId="0" xfId="0" applyFill="1" applyBorder="1" applyAlignment="1">
      <alignment vertical="top" wrapText="1"/>
    </xf>
    <xf numFmtId="0" fontId="6" fillId="7" borderId="8" xfId="0" applyFont="1" applyFill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0" fillId="0" borderId="0" xfId="0" applyAlignment="1">
      <alignment horizontal="center" wrapText="1"/>
    </xf>
    <xf numFmtId="0" fontId="8" fillId="0" borderId="0" xfId="0" applyFont="1" applyAlignment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DE9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showGridLines="0" topLeftCell="A5" workbookViewId="0">
      <selection activeCell="I4" sqref="I4"/>
    </sheetView>
  </sheetViews>
  <sheetFormatPr baseColWidth="10" defaultColWidth="9.140625" defaultRowHeight="15" x14ac:dyDescent="0.25"/>
  <cols>
    <col min="1" max="1" width="34" customWidth="1"/>
    <col min="3" max="3" width="12" customWidth="1"/>
    <col min="5" max="5" width="28" customWidth="1"/>
    <col min="8" max="8" width="24" customWidth="1"/>
    <col min="9" max="9" width="28" customWidth="1"/>
    <col min="10" max="10" width="62" customWidth="1"/>
  </cols>
  <sheetData>
    <row r="1" spans="1:10" ht="18.75" x14ac:dyDescent="0.3">
      <c r="A1" s="1" t="s">
        <v>0</v>
      </c>
    </row>
    <row r="2" spans="1:10" ht="21" x14ac:dyDescent="0.35">
      <c r="A2" s="40" t="s">
        <v>94</v>
      </c>
      <c r="B2" s="41"/>
      <c r="C2" s="41"/>
      <c r="D2" s="41"/>
    </row>
    <row r="3" spans="1:10" ht="21" x14ac:dyDescent="0.35">
      <c r="A3" s="40" t="s">
        <v>1</v>
      </c>
      <c r="B3" s="41"/>
      <c r="C3" s="41"/>
      <c r="D3" s="41"/>
    </row>
    <row r="4" spans="1:10" ht="21" x14ac:dyDescent="0.35">
      <c r="A4" s="40" t="s">
        <v>93</v>
      </c>
      <c r="B4" s="41"/>
      <c r="C4" s="41"/>
      <c r="D4" s="41"/>
    </row>
    <row r="5" spans="1:10" ht="21" x14ac:dyDescent="0.35">
      <c r="A5" s="40" t="s">
        <v>96</v>
      </c>
      <c r="B5" s="41"/>
      <c r="C5" s="41"/>
      <c r="D5" s="41"/>
    </row>
    <row r="6" spans="1:10" ht="21" x14ac:dyDescent="0.35">
      <c r="A6" s="40" t="s">
        <v>95</v>
      </c>
      <c r="B6" s="41"/>
      <c r="C6" s="41"/>
      <c r="D6" s="41"/>
    </row>
    <row r="7" spans="1:10" x14ac:dyDescent="0.25">
      <c r="A7" s="2"/>
    </row>
    <row r="10" spans="1:10" x14ac:dyDescent="0.25">
      <c r="A10" s="3" t="s">
        <v>2</v>
      </c>
      <c r="C10" s="3" t="s">
        <v>3</v>
      </c>
      <c r="E10" s="3" t="s">
        <v>4</v>
      </c>
      <c r="H10" s="3" t="s">
        <v>5</v>
      </c>
    </row>
    <row r="11" spans="1:10" x14ac:dyDescent="0.25">
      <c r="A11" t="s">
        <v>6</v>
      </c>
      <c r="C11" t="s">
        <v>7</v>
      </c>
      <c r="E11" t="s">
        <v>8</v>
      </c>
      <c r="H11" s="4" t="s">
        <v>9</v>
      </c>
      <c r="I11" s="4" t="s">
        <v>10</v>
      </c>
      <c r="J11" s="4" t="s">
        <v>11</v>
      </c>
    </row>
    <row r="12" spans="1:10" ht="30" x14ac:dyDescent="0.25">
      <c r="A12" t="s">
        <v>12</v>
      </c>
      <c r="C12" t="s">
        <v>13</v>
      </c>
      <c r="E12" t="s">
        <v>14</v>
      </c>
      <c r="H12" s="5" t="s">
        <v>8</v>
      </c>
      <c r="I12" s="5" t="s">
        <v>15</v>
      </c>
      <c r="J12" s="5" t="s">
        <v>16</v>
      </c>
    </row>
    <row r="13" spans="1:10" ht="30" x14ac:dyDescent="0.25">
      <c r="A13" t="s">
        <v>17</v>
      </c>
      <c r="E13" t="s">
        <v>18</v>
      </c>
      <c r="H13" s="5" t="s">
        <v>8</v>
      </c>
      <c r="I13" s="5" t="s">
        <v>19</v>
      </c>
      <c r="J13" s="5" t="s">
        <v>20</v>
      </c>
    </row>
    <row r="14" spans="1:10" ht="30" x14ac:dyDescent="0.25">
      <c r="E14" t="s">
        <v>21</v>
      </c>
      <c r="H14" s="5" t="s">
        <v>8</v>
      </c>
      <c r="I14" s="5" t="s">
        <v>22</v>
      </c>
      <c r="J14" s="5" t="s">
        <v>23</v>
      </c>
    </row>
    <row r="15" spans="1:10" ht="30" x14ac:dyDescent="0.25">
      <c r="E15" t="s">
        <v>24</v>
      </c>
      <c r="H15" s="5" t="s">
        <v>8</v>
      </c>
      <c r="I15" s="5" t="s">
        <v>25</v>
      </c>
      <c r="J15" s="5" t="s">
        <v>26</v>
      </c>
    </row>
    <row r="16" spans="1:10" x14ac:dyDescent="0.25">
      <c r="E16" t="s">
        <v>27</v>
      </c>
      <c r="H16" s="5" t="s">
        <v>8</v>
      </c>
      <c r="I16" s="5" t="s">
        <v>28</v>
      </c>
      <c r="J16" s="5" t="s">
        <v>29</v>
      </c>
    </row>
    <row r="17" spans="8:10" ht="30" x14ac:dyDescent="0.25">
      <c r="H17" s="5" t="s">
        <v>8</v>
      </c>
      <c r="I17" s="5" t="s">
        <v>30</v>
      </c>
      <c r="J17" s="5" t="s">
        <v>31</v>
      </c>
    </row>
    <row r="18" spans="8:10" ht="30" x14ac:dyDescent="0.25">
      <c r="H18" s="5" t="s">
        <v>8</v>
      </c>
      <c r="I18" s="5" t="s">
        <v>32</v>
      </c>
      <c r="J18" s="5" t="s">
        <v>33</v>
      </c>
    </row>
    <row r="19" spans="8:10" ht="30" x14ac:dyDescent="0.25">
      <c r="H19" s="5" t="s">
        <v>8</v>
      </c>
      <c r="I19" s="5" t="s">
        <v>34</v>
      </c>
      <c r="J19" s="5" t="s">
        <v>35</v>
      </c>
    </row>
    <row r="20" spans="8:10" ht="30" x14ac:dyDescent="0.25">
      <c r="H20" s="5" t="s">
        <v>14</v>
      </c>
      <c r="I20" s="5" t="s">
        <v>36</v>
      </c>
      <c r="J20" s="5" t="s">
        <v>37</v>
      </c>
    </row>
    <row r="21" spans="8:10" ht="30" x14ac:dyDescent="0.25">
      <c r="H21" s="5" t="s">
        <v>14</v>
      </c>
      <c r="I21" s="5" t="s">
        <v>38</v>
      </c>
      <c r="J21" s="5" t="s">
        <v>39</v>
      </c>
    </row>
    <row r="22" spans="8:10" ht="30" x14ac:dyDescent="0.25">
      <c r="H22" s="5" t="s">
        <v>18</v>
      </c>
      <c r="I22" s="5" t="s">
        <v>40</v>
      </c>
      <c r="J22" s="5" t="s">
        <v>41</v>
      </c>
    </row>
    <row r="23" spans="8:10" ht="30" x14ac:dyDescent="0.25">
      <c r="H23" s="5" t="s">
        <v>18</v>
      </c>
      <c r="I23" s="5" t="s">
        <v>42</v>
      </c>
      <c r="J23" s="5" t="s">
        <v>43</v>
      </c>
    </row>
    <row r="24" spans="8:10" ht="30" x14ac:dyDescent="0.25">
      <c r="H24" s="5" t="s">
        <v>18</v>
      </c>
      <c r="I24" s="5" t="s">
        <v>44</v>
      </c>
      <c r="J24" s="5" t="s">
        <v>45</v>
      </c>
    </row>
    <row r="25" spans="8:10" ht="30" x14ac:dyDescent="0.25">
      <c r="H25" s="5" t="s">
        <v>21</v>
      </c>
      <c r="I25" s="5" t="s">
        <v>46</v>
      </c>
      <c r="J25" s="5" t="s">
        <v>47</v>
      </c>
    </row>
    <row r="26" spans="8:10" ht="30" x14ac:dyDescent="0.25">
      <c r="H26" s="5" t="s">
        <v>21</v>
      </c>
      <c r="I26" s="5" t="s">
        <v>48</v>
      </c>
      <c r="J26" s="5" t="s">
        <v>49</v>
      </c>
    </row>
    <row r="27" spans="8:10" ht="30" x14ac:dyDescent="0.25">
      <c r="H27" s="5" t="s">
        <v>21</v>
      </c>
      <c r="I27" s="5" t="s">
        <v>50</v>
      </c>
      <c r="J27" s="5" t="s">
        <v>51</v>
      </c>
    </row>
    <row r="28" spans="8:10" x14ac:dyDescent="0.25">
      <c r="H28" s="5" t="s">
        <v>21</v>
      </c>
      <c r="I28" s="5" t="s">
        <v>52</v>
      </c>
      <c r="J28" s="5" t="s">
        <v>53</v>
      </c>
    </row>
    <row r="29" spans="8:10" ht="30" x14ac:dyDescent="0.25">
      <c r="H29" s="5" t="s">
        <v>24</v>
      </c>
      <c r="I29" s="5" t="s">
        <v>54</v>
      </c>
      <c r="J29" s="5" t="s">
        <v>55</v>
      </c>
    </row>
    <row r="30" spans="8:10" ht="30" x14ac:dyDescent="0.25">
      <c r="H30" s="5" t="s">
        <v>24</v>
      </c>
      <c r="I30" s="5" t="s">
        <v>56</v>
      </c>
      <c r="J30" s="5" t="s">
        <v>57</v>
      </c>
    </row>
    <row r="31" spans="8:10" ht="30" x14ac:dyDescent="0.25">
      <c r="H31" s="5" t="s">
        <v>24</v>
      </c>
      <c r="I31" s="5" t="s">
        <v>58</v>
      </c>
      <c r="J31" s="5" t="s">
        <v>59</v>
      </c>
    </row>
    <row r="32" spans="8:10" ht="30" x14ac:dyDescent="0.25">
      <c r="H32" s="5" t="s">
        <v>27</v>
      </c>
      <c r="I32" s="5" t="s">
        <v>60</v>
      </c>
      <c r="J32" s="5" t="s">
        <v>61</v>
      </c>
    </row>
    <row r="33" spans="8:10" ht="30" x14ac:dyDescent="0.25">
      <c r="H33" s="5" t="s">
        <v>27</v>
      </c>
      <c r="I33" s="5" t="s">
        <v>62</v>
      </c>
      <c r="J33" s="5" t="s">
        <v>63</v>
      </c>
    </row>
    <row r="34" spans="8:10" ht="30" x14ac:dyDescent="0.25">
      <c r="H34" s="5" t="s">
        <v>27</v>
      </c>
      <c r="I34" s="5" t="s">
        <v>64</v>
      </c>
      <c r="J34" s="5" t="s">
        <v>65</v>
      </c>
    </row>
    <row r="35" spans="8:10" ht="30" x14ac:dyDescent="0.25">
      <c r="H35" s="5" t="s">
        <v>27</v>
      </c>
      <c r="I35" s="5" t="s">
        <v>66</v>
      </c>
      <c r="J35" s="5" t="s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showGridLines="0" workbookViewId="0">
      <pane ySplit="11" topLeftCell="A21" activePane="bottomLeft" state="frozen"/>
      <selection pane="bottomLeft" activeCell="D27" sqref="D27"/>
    </sheetView>
  </sheetViews>
  <sheetFormatPr baseColWidth="10" defaultColWidth="9.140625" defaultRowHeight="15" x14ac:dyDescent="0.25"/>
  <cols>
    <col min="1" max="1" width="24" customWidth="1"/>
    <col min="2" max="2" width="32" customWidth="1"/>
    <col min="3" max="3" width="14" customWidth="1"/>
    <col min="4" max="4" width="18" customWidth="1"/>
    <col min="5" max="5" width="12" customWidth="1"/>
    <col min="6" max="6" width="55" customWidth="1"/>
    <col min="7" max="7" width="18" hidden="1" customWidth="1"/>
    <col min="8" max="8" width="50" hidden="1" customWidth="1"/>
    <col min="9" max="12" width="13" hidden="1" customWidth="1"/>
  </cols>
  <sheetData>
    <row r="1" spans="1:12" ht="18.75" x14ac:dyDescent="0.3">
      <c r="A1" s="16" t="s">
        <v>68</v>
      </c>
      <c r="B1" s="15"/>
      <c r="C1" s="15"/>
      <c r="D1" s="15"/>
      <c r="E1" s="15"/>
      <c r="F1" s="15"/>
      <c r="G1" s="15"/>
      <c r="H1" s="15"/>
    </row>
    <row r="3" spans="1:12" x14ac:dyDescent="0.25">
      <c r="A3" s="6" t="s">
        <v>69</v>
      </c>
      <c r="B3" s="7"/>
    </row>
    <row r="4" spans="1:12" x14ac:dyDescent="0.25">
      <c r="A4" s="6" t="s">
        <v>70</v>
      </c>
      <c r="B4" s="7"/>
    </row>
    <row r="5" spans="1:12" x14ac:dyDescent="0.25">
      <c r="A5" s="6" t="s">
        <v>71</v>
      </c>
      <c r="B5" s="7"/>
    </row>
    <row r="6" spans="1:12" x14ac:dyDescent="0.25">
      <c r="A6" s="6" t="s">
        <v>72</v>
      </c>
      <c r="B6" s="7"/>
    </row>
    <row r="7" spans="1:12" x14ac:dyDescent="0.25">
      <c r="A7" s="6" t="s">
        <v>73</v>
      </c>
      <c r="B7" s="7"/>
    </row>
    <row r="9" spans="1:12" x14ac:dyDescent="0.25">
      <c r="A9" s="8" t="s">
        <v>74</v>
      </c>
      <c r="B9" s="14" t="s">
        <v>75</v>
      </c>
      <c r="C9" s="15"/>
      <c r="D9" s="15"/>
      <c r="E9" s="15"/>
      <c r="F9" s="15"/>
      <c r="G9" s="15"/>
      <c r="H9" s="15"/>
    </row>
    <row r="11" spans="1:12" ht="15.75" thickBot="1" x14ac:dyDescent="0.3">
      <c r="A11" s="9" t="s">
        <v>9</v>
      </c>
      <c r="B11" s="9" t="s">
        <v>10</v>
      </c>
      <c r="C11" s="9" t="s">
        <v>76</v>
      </c>
      <c r="D11" s="9" t="s">
        <v>77</v>
      </c>
      <c r="E11" s="9" t="s">
        <v>78</v>
      </c>
      <c r="F11" s="9" t="s">
        <v>79</v>
      </c>
      <c r="G11" t="s">
        <v>10</v>
      </c>
      <c r="H11" t="s">
        <v>9</v>
      </c>
      <c r="I11" t="s">
        <v>80</v>
      </c>
      <c r="J11" t="s">
        <v>81</v>
      </c>
      <c r="K11" t="s">
        <v>82</v>
      </c>
      <c r="L11" t="s">
        <v>83</v>
      </c>
    </row>
    <row r="12" spans="1:12" ht="30" x14ac:dyDescent="0.25">
      <c r="A12" s="24" t="s">
        <v>8</v>
      </c>
      <c r="B12" s="25" t="s">
        <v>15</v>
      </c>
      <c r="C12" s="26" t="s">
        <v>6</v>
      </c>
      <c r="D12" s="26" t="s">
        <v>7</v>
      </c>
      <c r="E12" s="26" t="s">
        <v>84</v>
      </c>
      <c r="F12" s="27" t="str">
        <f t="shared" ref="F12:F35" si="0">VLOOKUP(B12,$G$12:$I$35,3,FALSE)</f>
        <v>No incluye gestión municipal, licencias ni aprobación ante entidades.</v>
      </c>
      <c r="G12" t="s">
        <v>15</v>
      </c>
      <c r="H12" t="s">
        <v>8</v>
      </c>
      <c r="I12" t="s">
        <v>16</v>
      </c>
      <c r="J12">
        <f>IF(AND(OR($D12="Sí",$D12="Si",$D12="SI"),$C12="Excluido"),SUMPRODUCT((($D$12:$D12="Sí")+($D$12:$D12="Si")+($D$12:$D12="SI"))*($C$12:$C12="Excluido")),"")</f>
        <v>1</v>
      </c>
      <c r="K12" t="str">
        <f>IF(AND(OR($D12="Sí",$D12="Si",$D12="SI"),$C12="Supuesto"),SUMPRODUCT((($D$12:$D12="Sí")+($D$12:$D12="Si")+($D$12:$D12="SI"))*($C$12:$C12="Supuesto")),"")</f>
        <v/>
      </c>
      <c r="L12" t="str">
        <f>IF(AND(OR($D12="Sí",$D12="Si",$D12="SI"),$C12="Revisión"),SUMPRODUCT((($D$12:$D12="Sí")+($D$12:$D12="Si")+($D$12:$D12="SI"))*($C$12:$C12="Revisión")),"")</f>
        <v/>
      </c>
    </row>
    <row r="13" spans="1:12" ht="30" x14ac:dyDescent="0.25">
      <c r="A13" s="28" t="s">
        <v>8</v>
      </c>
      <c r="B13" s="29" t="s">
        <v>19</v>
      </c>
      <c r="C13" s="30" t="s">
        <v>6</v>
      </c>
      <c r="D13" s="30" t="s">
        <v>7</v>
      </c>
      <c r="E13" s="30" t="s">
        <v>84</v>
      </c>
      <c r="F13" s="31" t="str">
        <f t="shared" si="0"/>
        <v>No incluye pagos por tasas, derechos, impuestos ni costos municipales.</v>
      </c>
      <c r="G13" t="s">
        <v>19</v>
      </c>
      <c r="H13" t="s">
        <v>8</v>
      </c>
      <c r="I13" t="s">
        <v>20</v>
      </c>
      <c r="J13">
        <f>IF(AND(OR($D13="Sí",$D13="Si",$D13="SI"),$C13="Excluido"),SUMPRODUCT((($D$12:$D13="Sí")+($D$12:$D13="Si")+($D$12:$D13="SI"))*($C$12:$C13="Excluido")),"")</f>
        <v>2</v>
      </c>
      <c r="K13" t="str">
        <f>IF(AND(OR($D13="Sí",$D13="Si",$D13="SI"),$C13="Supuesto"),SUMPRODUCT((($D$12:$D13="Sí")+($D$12:$D13="Si")+($D$12:$D13="SI"))*($C$12:$C13="Supuesto")),"")</f>
        <v/>
      </c>
      <c r="L13" t="str">
        <f>IF(AND(OR($D13="Sí",$D13="Si",$D13="SI"),$C13="Revisión"),SUMPRODUCT((($D$12:$D13="Sí")+($D$12:$D13="Si")+($D$12:$D13="SI"))*($C$12:$C13="Revisión")),"")</f>
        <v/>
      </c>
    </row>
    <row r="14" spans="1:12" ht="30" x14ac:dyDescent="0.25">
      <c r="A14" s="32" t="s">
        <v>8</v>
      </c>
      <c r="B14" s="33" t="s">
        <v>22</v>
      </c>
      <c r="C14" s="30" t="s">
        <v>6</v>
      </c>
      <c r="D14" s="30" t="s">
        <v>13</v>
      </c>
      <c r="E14" s="30" t="s">
        <v>84</v>
      </c>
      <c r="F14" s="34" t="str">
        <f t="shared" si="0"/>
        <v>No incluye levantamiento topográfico, mecánica de suelos ni estudios especializados.</v>
      </c>
      <c r="G14" t="s">
        <v>22</v>
      </c>
      <c r="H14" t="s">
        <v>8</v>
      </c>
      <c r="I14" t="s">
        <v>23</v>
      </c>
      <c r="J14" t="str">
        <f>IF(AND(OR($D14="Sí",$D14="Si",$D14="SI"),$C14="Excluido"),SUMPRODUCT((($D$12:$D14="Sí")+($D$12:$D14="Si")+($D$12:$D14="SI"))*($C$12:$C14="Excluido")),"")</f>
        <v/>
      </c>
      <c r="K14" t="str">
        <f>IF(AND(OR($D14="Sí",$D14="Si",$D14="SI"),$C14="Supuesto"),SUMPRODUCT((($D$12:$D14="Sí")+($D$12:$D14="Si")+($D$12:$D14="SI"))*($C$12:$C14="Supuesto")),"")</f>
        <v/>
      </c>
      <c r="L14" t="str">
        <f>IF(AND(OR($D14="Sí",$D14="Si",$D14="SI"),$C14="Revisión"),SUMPRODUCT((($D$12:$D14="Sí")+($D$12:$D14="Si")+($D$12:$D14="SI"))*($C$12:$C14="Revisión")),"")</f>
        <v/>
      </c>
    </row>
    <row r="15" spans="1:12" ht="30" x14ac:dyDescent="0.25">
      <c r="A15" s="28" t="s">
        <v>8</v>
      </c>
      <c r="B15" s="29" t="s">
        <v>25</v>
      </c>
      <c r="C15" s="30" t="s">
        <v>6</v>
      </c>
      <c r="D15" s="30" t="s">
        <v>13</v>
      </c>
      <c r="E15" s="30" t="s">
        <v>84</v>
      </c>
      <c r="F15" s="31" t="str">
        <f t="shared" si="0"/>
        <v>No incluye desarrollo de estructuras, sanitarias, eléctricas, HVAC u otras especialidades.</v>
      </c>
      <c r="G15" t="s">
        <v>25</v>
      </c>
      <c r="H15" t="s">
        <v>8</v>
      </c>
      <c r="I15" t="s">
        <v>26</v>
      </c>
      <c r="J15" t="str">
        <f>IF(AND(OR($D15="Sí",$D15="Si",$D15="SI"),$C15="Excluido"),SUMPRODUCT((($D$12:$D15="Sí")+($D$12:$D15="Si")+($D$12:$D15="SI"))*($C$12:$C15="Excluido")),"")</f>
        <v/>
      </c>
      <c r="K15" t="str">
        <f>IF(AND(OR($D15="Sí",$D15="Si",$D15="SI"),$C15="Supuesto"),SUMPRODUCT((($D$12:$D15="Sí")+($D$12:$D15="Si")+($D$12:$D15="SI"))*($C$12:$C15="Supuesto")),"")</f>
        <v/>
      </c>
      <c r="L15" t="str">
        <f>IF(AND(OR($D15="Sí",$D15="Si",$D15="SI"),$C15="Revisión"),SUMPRODUCT((($D$12:$D15="Sí")+($D$12:$D15="Si")+($D$12:$D15="SI"))*($C$12:$C15="Revisión")),"")</f>
        <v/>
      </c>
    </row>
    <row r="16" spans="1:12" ht="30" x14ac:dyDescent="0.25">
      <c r="A16" s="32" t="s">
        <v>8</v>
      </c>
      <c r="B16" s="33" t="s">
        <v>28</v>
      </c>
      <c r="C16" s="30" t="s">
        <v>6</v>
      </c>
      <c r="D16" s="30" t="s">
        <v>13</v>
      </c>
      <c r="E16" s="30" t="s">
        <v>84</v>
      </c>
      <c r="F16" s="34" t="str">
        <f t="shared" si="0"/>
        <v>No incluye mobiliario suelto, equipamiento ni compras directas.</v>
      </c>
      <c r="G16" t="s">
        <v>28</v>
      </c>
      <c r="H16" t="s">
        <v>8</v>
      </c>
      <c r="I16" t="s">
        <v>29</v>
      </c>
      <c r="J16" t="str">
        <f>IF(AND(OR($D16="Sí",$D16="Si",$D16="SI"),$C16="Excluido"),SUMPRODUCT((($D$12:$D16="Sí")+($D$12:$D16="Si")+($D$12:$D16="SI"))*($C$12:$C16="Excluido")),"")</f>
        <v/>
      </c>
      <c r="K16" t="str">
        <f>IF(AND(OR($D16="Sí",$D16="Si",$D16="SI"),$C16="Supuesto"),SUMPRODUCT((($D$12:$D16="Sí")+($D$12:$D16="Si")+($D$12:$D16="SI"))*($C$12:$C16="Supuesto")),"")</f>
        <v/>
      </c>
      <c r="L16" t="str">
        <f>IF(AND(OR($D16="Sí",$D16="Si",$D16="SI"),$C16="Revisión"),SUMPRODUCT((($D$12:$D16="Sí")+($D$12:$D16="Si")+($D$12:$D16="SI"))*($C$12:$C16="Revisión")),"")</f>
        <v/>
      </c>
    </row>
    <row r="17" spans="1:12" ht="30" x14ac:dyDescent="0.25">
      <c r="A17" s="28" t="s">
        <v>8</v>
      </c>
      <c r="B17" s="29" t="s">
        <v>30</v>
      </c>
      <c r="C17" s="30" t="s">
        <v>6</v>
      </c>
      <c r="D17" s="30" t="s">
        <v>13</v>
      </c>
      <c r="E17" s="30" t="s">
        <v>84</v>
      </c>
      <c r="F17" s="31" t="str">
        <f t="shared" si="0"/>
        <v>No incluye diseño de paisaje, branding, señalética ni gráfica ambiental.</v>
      </c>
      <c r="G17" t="s">
        <v>30</v>
      </c>
      <c r="H17" t="s">
        <v>8</v>
      </c>
      <c r="I17" t="s">
        <v>31</v>
      </c>
      <c r="J17" t="str">
        <f>IF(AND(OR($D17="Sí",$D17="Si",$D17="SI"),$C17="Excluido"),SUMPRODUCT((($D$12:$D17="Sí")+($D$12:$D17="Si")+($D$12:$D17="SI"))*($C$12:$C17="Excluido")),"")</f>
        <v/>
      </c>
      <c r="K17" t="str">
        <f>IF(AND(OR($D17="Sí",$D17="Si",$D17="SI"),$C17="Supuesto"),SUMPRODUCT((($D$12:$D17="Sí")+($D$12:$D17="Si")+($D$12:$D17="SI"))*($C$12:$C17="Supuesto")),"")</f>
        <v/>
      </c>
      <c r="L17" t="str">
        <f>IF(AND(OR($D17="Sí",$D17="Si",$D17="SI"),$C17="Revisión"),SUMPRODUCT((($D$12:$D17="Sí")+($D$12:$D17="Si")+($D$12:$D17="SI"))*($C$12:$C17="Revisión")),"")</f>
        <v/>
      </c>
    </row>
    <row r="18" spans="1:12" ht="30" x14ac:dyDescent="0.25">
      <c r="A18" s="32" t="s">
        <v>8</v>
      </c>
      <c r="B18" s="33" t="s">
        <v>32</v>
      </c>
      <c r="C18" s="30" t="s">
        <v>6</v>
      </c>
      <c r="D18" s="30" t="s">
        <v>13</v>
      </c>
      <c r="E18" s="30" t="s">
        <v>84</v>
      </c>
      <c r="F18" s="34" t="str">
        <f t="shared" si="0"/>
        <v>No incluye visualizaciones adicionales ni impresiones físicas fuera de lo acordado.</v>
      </c>
      <c r="G18" t="s">
        <v>32</v>
      </c>
      <c r="H18" t="s">
        <v>8</v>
      </c>
      <c r="I18" t="s">
        <v>33</v>
      </c>
      <c r="J18" t="str">
        <f>IF(AND(OR($D18="Sí",$D18="Si",$D18="SI"),$C18="Excluido"),SUMPRODUCT((($D$12:$D18="Sí")+($D$12:$D18="Si")+($D$12:$D18="SI"))*($C$12:$C18="Excluido")),"")</f>
        <v/>
      </c>
      <c r="K18" t="str">
        <f>IF(AND(OR($D18="Sí",$D18="Si",$D18="SI"),$C18="Supuesto"),SUMPRODUCT((($D$12:$D18="Sí")+($D$12:$D18="Si")+($D$12:$D18="SI"))*($C$12:$C18="Supuesto")),"")</f>
        <v/>
      </c>
      <c r="L18" t="str">
        <f>IF(AND(OR($D18="Sí",$D18="Si",$D18="SI"),$C18="Revisión"),SUMPRODUCT((($D$12:$D18="Sí")+($D$12:$D18="Si")+($D$12:$D18="SI"))*($C$12:$C18="Revisión")),"")</f>
        <v/>
      </c>
    </row>
    <row r="19" spans="1:12" ht="30" x14ac:dyDescent="0.25">
      <c r="A19" s="28" t="s">
        <v>8</v>
      </c>
      <c r="B19" s="29" t="s">
        <v>34</v>
      </c>
      <c r="C19" s="30" t="s">
        <v>6</v>
      </c>
      <c r="D19" s="30" t="s">
        <v>7</v>
      </c>
      <c r="E19" s="30" t="s">
        <v>84</v>
      </c>
      <c r="F19" s="31" t="str">
        <f t="shared" si="0"/>
        <v>No incluye ejecución de obra, administración integral ni presencia permanente en campo.</v>
      </c>
      <c r="G19" t="s">
        <v>34</v>
      </c>
      <c r="H19" t="s">
        <v>8</v>
      </c>
      <c r="I19" t="s">
        <v>35</v>
      </c>
      <c r="J19">
        <f>IF(AND(OR($D19="Sí",$D19="Si",$D19="SI"),$C19="Excluido"),SUMPRODUCT((($D$12:$D19="Sí")+($D$12:$D19="Si")+($D$12:$D19="SI"))*($C$12:$C19="Excluido")),"")</f>
        <v>3</v>
      </c>
      <c r="K19" t="str">
        <f>IF(AND(OR($D19="Sí",$D19="Si",$D19="SI"),$C19="Supuesto"),SUMPRODUCT((($D$12:$D19="Sí")+($D$12:$D19="Si")+($D$12:$D19="SI"))*($C$12:$C19="Supuesto")),"")</f>
        <v/>
      </c>
      <c r="L19" t="str">
        <f>IF(AND(OR($D19="Sí",$D19="Si",$D19="SI"),$C19="Revisión"),SUMPRODUCT((($D$12:$D19="Sí")+($D$12:$D19="Si")+($D$12:$D19="SI"))*($C$12:$C19="Revisión")),"")</f>
        <v/>
      </c>
    </row>
    <row r="20" spans="1:12" ht="30" x14ac:dyDescent="0.25">
      <c r="A20" s="32" t="s">
        <v>14</v>
      </c>
      <c r="B20" s="33" t="s">
        <v>36</v>
      </c>
      <c r="C20" s="30" t="s">
        <v>6</v>
      </c>
      <c r="D20" s="30" t="s">
        <v>7</v>
      </c>
      <c r="E20" s="30" t="s">
        <v>84</v>
      </c>
      <c r="F20" s="34" t="str">
        <f t="shared" si="0"/>
        <v>No incluye áreas no contempladas expresamente en el alcance base.</v>
      </c>
      <c r="G20" t="s">
        <v>36</v>
      </c>
      <c r="H20" t="s">
        <v>14</v>
      </c>
      <c r="I20" t="s">
        <v>37</v>
      </c>
      <c r="J20">
        <f>IF(AND(OR($D20="Sí",$D20="Si",$D20="SI"),$C20="Excluido"),SUMPRODUCT((($D$12:$D20="Sí")+($D$12:$D20="Si")+($D$12:$D20="SI"))*($C$12:$C20="Excluido")),"")</f>
        <v>4</v>
      </c>
      <c r="K20" t="str">
        <f>IF(AND(OR($D20="Sí",$D20="Si",$D20="SI"),$C20="Supuesto"),SUMPRODUCT((($D$12:$D20="Sí")+($D$12:$D20="Si")+($D$12:$D20="SI"))*($C$12:$C20="Supuesto")),"")</f>
        <v/>
      </c>
      <c r="L20" t="str">
        <f>IF(AND(OR($D20="Sí",$D20="Si",$D20="SI"),$C20="Revisión"),SUMPRODUCT((($D$12:$D20="Sí")+($D$12:$D20="Si")+($D$12:$D20="SI"))*($C$12:$C20="Revisión")),"")</f>
        <v/>
      </c>
    </row>
    <row r="21" spans="1:12" ht="30.75" thickBot="1" x14ac:dyDescent="0.3">
      <c r="A21" s="35" t="s">
        <v>14</v>
      </c>
      <c r="B21" s="36" t="s">
        <v>38</v>
      </c>
      <c r="C21" s="37" t="s">
        <v>6</v>
      </c>
      <c r="D21" s="37" t="s">
        <v>7</v>
      </c>
      <c r="E21" s="37" t="s">
        <v>84</v>
      </c>
      <c r="F21" s="38" t="str">
        <f t="shared" si="0"/>
        <v>No incluye exigencias o partidas que no hayan sido informadas al momento de cotizar.</v>
      </c>
      <c r="G21" t="s">
        <v>38</v>
      </c>
      <c r="H21" t="s">
        <v>14</v>
      </c>
      <c r="I21" t="s">
        <v>39</v>
      </c>
      <c r="J21">
        <f>IF(AND(OR($D21="Sí",$D21="Si",$D21="SI"),$C21="Excluido"),SUMPRODUCT((($D$12:$D21="Sí")+($D$12:$D21="Si")+($D$12:$D21="SI"))*($C$12:$C21="Excluido")),"")</f>
        <v>5</v>
      </c>
      <c r="K21" t="str">
        <f>IF(AND(OR($D21="Sí",$D21="Si",$D21="SI"),$C21="Supuesto"),SUMPRODUCT((($D$12:$D21="Sí")+($D$12:$D21="Si")+($D$12:$D21="SI"))*($C$12:$C21="Supuesto")),"")</f>
        <v/>
      </c>
      <c r="L21" t="str">
        <f>IF(AND(OR($D21="Sí",$D21="Si",$D21="SI"),$C21="Revisión"),SUMPRODUCT((($D$12:$D21="Sí")+($D$12:$D21="Si")+($D$12:$D21="SI"))*($C$12:$C21="Revisión")),"")</f>
        <v/>
      </c>
    </row>
    <row r="22" spans="1:12" ht="30" x14ac:dyDescent="0.25">
      <c r="A22" s="24" t="s">
        <v>18</v>
      </c>
      <c r="B22" s="25" t="s">
        <v>40</v>
      </c>
      <c r="C22" s="26" t="s">
        <v>12</v>
      </c>
      <c r="D22" s="26" t="s">
        <v>13</v>
      </c>
      <c r="E22" s="26" t="s">
        <v>84</v>
      </c>
      <c r="F22" s="27" t="str">
        <f t="shared" si="0"/>
        <v>Se asume que medidas, planos y data base entregada por el cliente son suficientes y confiables.</v>
      </c>
      <c r="G22" t="s">
        <v>40</v>
      </c>
      <c r="H22" t="s">
        <v>18</v>
      </c>
      <c r="I22" t="s">
        <v>41</v>
      </c>
      <c r="J22" t="str">
        <f>IF(AND(OR($D22="Sí",$D22="Si",$D22="SI"),$C22="Excluido"),SUMPRODUCT((($D$12:$D22="Sí")+($D$12:$D22="Si")+($D$12:$D22="SI"))*($C$12:$C22="Excluido")),"")</f>
        <v/>
      </c>
      <c r="K22" t="str">
        <f>IF(AND(OR($D22="Sí",$D22="Si",$D22="SI"),$C22="Supuesto"),SUMPRODUCT((($D$12:$D22="Sí")+($D$12:$D22="Si")+($D$12:$D22="SI"))*($C$12:$C22="Supuesto")),"")</f>
        <v/>
      </c>
      <c r="L22" t="str">
        <f>IF(AND(OR($D22="Sí",$D22="Si",$D22="SI"),$C22="Revisión"),SUMPRODUCT((($D$12:$D22="Sí")+($D$12:$D22="Si")+($D$12:$D22="SI"))*($C$12:$C22="Revisión")),"")</f>
        <v/>
      </c>
    </row>
    <row r="23" spans="1:12" ht="30" x14ac:dyDescent="0.25">
      <c r="A23" s="28" t="s">
        <v>18</v>
      </c>
      <c r="B23" s="29" t="s">
        <v>42</v>
      </c>
      <c r="C23" s="30" t="s">
        <v>12</v>
      </c>
      <c r="D23" s="30" t="s">
        <v>7</v>
      </c>
      <c r="E23" s="30" t="s">
        <v>84</v>
      </c>
      <c r="F23" s="31" t="str">
        <f t="shared" si="0"/>
        <v>Se asume que el inmueble no presenta contingencias ocultas no visibles al momento de la propuesta.</v>
      </c>
      <c r="G23" t="s">
        <v>42</v>
      </c>
      <c r="H23" t="s">
        <v>18</v>
      </c>
      <c r="I23" t="s">
        <v>43</v>
      </c>
      <c r="J23" t="str">
        <f>IF(AND(OR($D23="Sí",$D23="Si",$D23="SI"),$C23="Excluido"),SUMPRODUCT((($D$12:$D23="Sí")+($D$12:$D23="Si")+($D$12:$D23="SI"))*($C$12:$C23="Excluido")),"")</f>
        <v/>
      </c>
      <c r="K23">
        <f>IF(AND(OR($D23="Sí",$D23="Si",$D23="SI"),$C23="Supuesto"),SUMPRODUCT((($D$12:$D23="Sí")+($D$12:$D23="Si")+($D$12:$D23="SI"))*($C$12:$C23="Supuesto")),"")</f>
        <v>1</v>
      </c>
      <c r="L23" t="str">
        <f>IF(AND(OR($D23="Sí",$D23="Si",$D23="SI"),$C23="Revisión"),SUMPRODUCT((($D$12:$D23="Sí")+($D$12:$D23="Si")+($D$12:$D23="SI"))*($C$12:$C23="Revisión")),"")</f>
        <v/>
      </c>
    </row>
    <row r="24" spans="1:12" ht="30" x14ac:dyDescent="0.25">
      <c r="A24" s="32" t="s">
        <v>18</v>
      </c>
      <c r="B24" s="33" t="s">
        <v>44</v>
      </c>
      <c r="C24" s="30" t="s">
        <v>12</v>
      </c>
      <c r="D24" s="30" t="s">
        <v>13</v>
      </c>
      <c r="E24" s="30" t="s">
        <v>84</v>
      </c>
      <c r="F24" s="34" t="str">
        <f t="shared" si="0"/>
        <v>Se asume acceso razonable al inmueble para visitas, levantamiento y validaciones.</v>
      </c>
      <c r="G24" t="s">
        <v>44</v>
      </c>
      <c r="H24" t="s">
        <v>18</v>
      </c>
      <c r="I24" t="s">
        <v>45</v>
      </c>
      <c r="J24" t="str">
        <f>IF(AND(OR($D24="Sí",$D24="Si",$D24="SI"),$C24="Excluido"),SUMPRODUCT((($D$12:$D24="Sí")+($D$12:$D24="Si")+($D$12:$D24="SI"))*($C$12:$C24="Excluido")),"")</f>
        <v/>
      </c>
      <c r="K24" t="str">
        <f>IF(AND(OR($D24="Sí",$D24="Si",$D24="SI"),$C24="Supuesto"),SUMPRODUCT((($D$12:$D24="Sí")+($D$12:$D24="Si")+($D$12:$D24="SI"))*($C$12:$C24="Supuesto")),"")</f>
        <v/>
      </c>
      <c r="L24" t="str">
        <f>IF(AND(OR($D24="Sí",$D24="Si",$D24="SI"),$C24="Revisión"),SUMPRODUCT((($D$12:$D24="Sí")+($D$12:$D24="Si")+($D$12:$D24="SI"))*($C$12:$C24="Revisión")),"")</f>
        <v/>
      </c>
    </row>
    <row r="25" spans="1:12" ht="30" x14ac:dyDescent="0.25">
      <c r="A25" s="28" t="s">
        <v>21</v>
      </c>
      <c r="B25" s="29" t="s">
        <v>46</v>
      </c>
      <c r="C25" s="30" t="s">
        <v>12</v>
      </c>
      <c r="D25" s="30" t="s">
        <v>13</v>
      </c>
      <c r="E25" s="30" t="s">
        <v>84</v>
      </c>
      <c r="F25" s="31" t="str">
        <f t="shared" si="0"/>
        <v>Se asume un número acotado de reuniones según la cotización aprobada.</v>
      </c>
      <c r="G25" t="s">
        <v>46</v>
      </c>
      <c r="H25" t="s">
        <v>21</v>
      </c>
      <c r="I25" t="s">
        <v>47</v>
      </c>
      <c r="J25" t="str">
        <f>IF(AND(OR($D25="Sí",$D25="Si",$D25="SI"),$C25="Excluido"),SUMPRODUCT((($D$12:$D25="Sí")+($D$12:$D25="Si")+($D$12:$D25="SI"))*($C$12:$C25="Excluido")),"")</f>
        <v/>
      </c>
      <c r="K25" t="str">
        <f>IF(AND(OR($D25="Sí",$D25="Si",$D25="SI"),$C25="Supuesto"),SUMPRODUCT((($D$12:$D25="Sí")+($D$12:$D25="Si")+($D$12:$D25="SI"))*($C$12:$C25="Supuesto")),"")</f>
        <v/>
      </c>
      <c r="L25" t="str">
        <f>IF(AND(OR($D25="Sí",$D25="Si",$D25="SI"),$C25="Revisión"),SUMPRODUCT((($D$12:$D25="Sí")+($D$12:$D25="Si")+($D$12:$D25="SI"))*($C$12:$C25="Revisión")),"")</f>
        <v/>
      </c>
    </row>
    <row r="26" spans="1:12" ht="30" x14ac:dyDescent="0.25">
      <c r="A26" s="32" t="s">
        <v>21</v>
      </c>
      <c r="B26" s="33" t="s">
        <v>48</v>
      </c>
      <c r="C26" s="30" t="s">
        <v>12</v>
      </c>
      <c r="D26" s="30" t="s">
        <v>7</v>
      </c>
      <c r="E26" s="30" t="s">
        <v>84</v>
      </c>
      <c r="F26" s="34" t="str">
        <f t="shared" si="0"/>
        <v>Se asume un máximo de rondas de cambios/revisión según lo ofertado.</v>
      </c>
      <c r="G26" t="s">
        <v>48</v>
      </c>
      <c r="H26" t="s">
        <v>21</v>
      </c>
      <c r="I26" t="s">
        <v>49</v>
      </c>
      <c r="J26" t="str">
        <f>IF(AND(OR($D26="Sí",$D26="Si",$D26="SI"),$C26="Excluido"),SUMPRODUCT((($D$12:$D26="Sí")+($D$12:$D26="Si")+($D$12:$D26="SI"))*($C$12:$C26="Excluido")),"")</f>
        <v/>
      </c>
      <c r="K26">
        <f>IF(AND(OR($D26="Sí",$D26="Si",$D26="SI"),$C26="Supuesto"),SUMPRODUCT((($D$12:$D26="Sí")+($D$12:$D26="Si")+($D$12:$D26="SI"))*($C$12:$C26="Supuesto")),"")</f>
        <v>2</v>
      </c>
      <c r="L26" t="str">
        <f>IF(AND(OR($D26="Sí",$D26="Si",$D26="SI"),$C26="Revisión"),SUMPRODUCT((($D$12:$D26="Sí")+($D$12:$D26="Si")+($D$12:$D26="SI"))*($C$12:$C26="Revisión")),"")</f>
        <v/>
      </c>
    </row>
    <row r="27" spans="1:12" ht="30" x14ac:dyDescent="0.25">
      <c r="A27" s="28" t="s">
        <v>21</v>
      </c>
      <c r="B27" s="29" t="s">
        <v>50</v>
      </c>
      <c r="C27" s="30" t="s">
        <v>12</v>
      </c>
      <c r="D27" s="30" t="s">
        <v>7</v>
      </c>
      <c r="E27" s="30" t="s">
        <v>84</v>
      </c>
      <c r="F27" s="31" t="str">
        <f t="shared" si="0"/>
        <v>Se asume que el cliente valida cada etapa antes de avanzar a la siguiente.</v>
      </c>
      <c r="G27" t="s">
        <v>50</v>
      </c>
      <c r="H27" t="s">
        <v>21</v>
      </c>
      <c r="I27" t="s">
        <v>51</v>
      </c>
      <c r="J27" t="str">
        <f>IF(AND(OR($D27="Sí",$D27="Si",$D27="SI"),$C27="Excluido"),SUMPRODUCT((($D$12:$D27="Sí")+($D$12:$D27="Si")+($D$12:$D27="SI"))*($C$12:$C27="Excluido")),"")</f>
        <v/>
      </c>
      <c r="K27">
        <f>IF(AND(OR($D27="Sí",$D27="Si",$D27="SI"),$C27="Supuesto"),SUMPRODUCT((($D$12:$D27="Sí")+($D$12:$D27="Si")+($D$12:$D27="SI"))*($C$12:$C27="Supuesto")),"")</f>
        <v>3</v>
      </c>
      <c r="L27" t="str">
        <f>IF(AND(OR($D27="Sí",$D27="Si",$D27="SI"),$C27="Revisión"),SUMPRODUCT((($D$12:$D27="Sí")+($D$12:$D27="Si")+($D$12:$D27="SI"))*($C$12:$C27="Revisión")),"")</f>
        <v/>
      </c>
    </row>
    <row r="28" spans="1:12" x14ac:dyDescent="0.25">
      <c r="A28" s="32" t="s">
        <v>21</v>
      </c>
      <c r="B28" s="33" t="s">
        <v>52</v>
      </c>
      <c r="C28" s="30" t="s">
        <v>12</v>
      </c>
      <c r="D28" s="30" t="s">
        <v>7</v>
      </c>
      <c r="E28" s="30" t="s">
        <v>84</v>
      </c>
      <c r="F28" s="34" t="str">
        <f t="shared" si="0"/>
        <v>Todo cambio fuera del alcance aprobado se cotiza aparte.</v>
      </c>
      <c r="G28" t="s">
        <v>52</v>
      </c>
      <c r="H28" t="s">
        <v>21</v>
      </c>
      <c r="I28" t="s">
        <v>53</v>
      </c>
      <c r="J28" t="str">
        <f>IF(AND(OR($D28="Sí",$D28="Si",$D28="SI"),$C28="Excluido"),SUMPRODUCT((($D$12:$D28="Sí")+($D$12:$D28="Si")+($D$12:$D28="SI"))*($C$12:$C28="Excluido")),"")</f>
        <v/>
      </c>
      <c r="K28">
        <f>IF(AND(OR($D28="Sí",$D28="Si",$D28="SI"),$C28="Supuesto"),SUMPRODUCT((($D$12:$D28="Sí")+($D$12:$D28="Si")+($D$12:$D28="SI"))*($C$12:$C28="Supuesto")),"")</f>
        <v>4</v>
      </c>
      <c r="L28" t="str">
        <f>IF(AND(OR($D28="Sí",$D28="Si",$D28="SI"),$C28="Revisión"),SUMPRODUCT((($D$12:$D28="Sí")+($D$12:$D28="Si")+($D$12:$D28="SI"))*($C$12:$C28="Revisión")),"")</f>
        <v/>
      </c>
    </row>
    <row r="29" spans="1:12" ht="30" x14ac:dyDescent="0.25">
      <c r="A29" s="28" t="s">
        <v>24</v>
      </c>
      <c r="B29" s="29" t="s">
        <v>54</v>
      </c>
      <c r="C29" s="30" t="s">
        <v>12</v>
      </c>
      <c r="D29" s="30" t="s">
        <v>7</v>
      </c>
      <c r="E29" s="30" t="s">
        <v>84</v>
      </c>
      <c r="F29" s="31" t="str">
        <f t="shared" si="0"/>
        <v>El inicio corre desde la aprobación formal y/o pago inicial.</v>
      </c>
      <c r="G29" t="s">
        <v>54</v>
      </c>
      <c r="H29" t="s">
        <v>24</v>
      </c>
      <c r="I29" t="s">
        <v>55</v>
      </c>
      <c r="J29" t="str">
        <f>IF(AND(OR($D29="Sí",$D29="Si",$D29="SI"),$C29="Excluido"),SUMPRODUCT((($D$12:$D29="Sí")+($D$12:$D29="Si")+($D$12:$D29="SI"))*($C$12:$C29="Excluido")),"")</f>
        <v/>
      </c>
      <c r="K29">
        <f>IF(AND(OR($D29="Sí",$D29="Si",$D29="SI"),$C29="Supuesto"),SUMPRODUCT((($D$12:$D29="Sí")+($D$12:$D29="Si")+($D$12:$D29="SI"))*($C$12:$C29="Supuesto")),"")</f>
        <v>5</v>
      </c>
      <c r="L29" t="str">
        <f>IF(AND(OR($D29="Sí",$D29="Si",$D29="SI"),$C29="Revisión"),SUMPRODUCT((($D$12:$D29="Sí")+($D$12:$D29="Si")+($D$12:$D29="SI"))*($C$12:$C29="Revisión")),"")</f>
        <v/>
      </c>
    </row>
    <row r="30" spans="1:12" ht="30" x14ac:dyDescent="0.25">
      <c r="A30" s="32" t="s">
        <v>24</v>
      </c>
      <c r="B30" s="33" t="s">
        <v>56</v>
      </c>
      <c r="C30" s="30" t="s">
        <v>12</v>
      </c>
      <c r="D30" s="30" t="s">
        <v>7</v>
      </c>
      <c r="E30" s="30" t="s">
        <v>84</v>
      </c>
      <c r="F30" s="34" t="str">
        <f t="shared" si="0"/>
        <v>Los plazos suponen respuestas y validaciones del cliente dentro de tiempos razonables.</v>
      </c>
      <c r="G30" t="s">
        <v>56</v>
      </c>
      <c r="H30" t="s">
        <v>24</v>
      </c>
      <c r="I30" t="s">
        <v>57</v>
      </c>
      <c r="J30" t="str">
        <f>IF(AND(OR($D30="Sí",$D30="Si",$D30="SI"),$C30="Excluido"),SUMPRODUCT((($D$12:$D30="Sí")+($D$12:$D30="Si")+($D$12:$D30="SI"))*($C$12:$C30="Excluido")),"")</f>
        <v/>
      </c>
      <c r="K30">
        <f>IF(AND(OR($D30="Sí",$D30="Si",$D30="SI"),$C30="Supuesto"),SUMPRODUCT((($D$12:$D30="Sí")+($D$12:$D30="Si")+($D$12:$D30="SI"))*($C$12:$C30="Supuesto")),"")</f>
        <v>6</v>
      </c>
      <c r="L30" t="str">
        <f>IF(AND(OR($D30="Sí",$D30="Si",$D30="SI"),$C30="Revisión"),SUMPRODUCT((($D$12:$D30="Sí")+($D$12:$D30="Si")+($D$12:$D30="SI"))*($C$12:$C30="Revisión")),"")</f>
        <v/>
      </c>
    </row>
    <row r="31" spans="1:12" ht="30.75" thickBot="1" x14ac:dyDescent="0.3">
      <c r="A31" s="35" t="s">
        <v>24</v>
      </c>
      <c r="B31" s="36" t="s">
        <v>58</v>
      </c>
      <c r="C31" s="37" t="s">
        <v>12</v>
      </c>
      <c r="D31" s="37" t="s">
        <v>7</v>
      </c>
      <c r="E31" s="37" t="s">
        <v>84</v>
      </c>
      <c r="F31" s="38" t="str">
        <f t="shared" si="0"/>
        <v>No se consideran demoras atribuibles a terceros, proveedores, comités o entidades.</v>
      </c>
      <c r="G31" t="s">
        <v>58</v>
      </c>
      <c r="H31" t="s">
        <v>24</v>
      </c>
      <c r="I31" t="s">
        <v>59</v>
      </c>
      <c r="J31" t="str">
        <f>IF(AND(OR($D31="Sí",$D31="Si",$D31="SI"),$C31="Excluido"),SUMPRODUCT((($D$12:$D31="Sí")+($D$12:$D31="Si")+($D$12:$D31="SI"))*($C$12:$C31="Excluido")),"")</f>
        <v/>
      </c>
      <c r="K31">
        <f>IF(AND(OR($D31="Sí",$D31="Si",$D31="SI"),$C31="Supuesto"),SUMPRODUCT((($D$12:$D31="Sí")+($D$12:$D31="Si")+($D$12:$D31="SI"))*($C$12:$C31="Supuesto")),"")</f>
        <v>7</v>
      </c>
      <c r="L31" t="str">
        <f>IF(AND(OR($D31="Sí",$D31="Si",$D31="SI"),$C31="Revisión"),SUMPRODUCT((($D$12:$D31="Sí")+($D$12:$D31="Si")+($D$12:$D31="SI"))*($C$12:$C31="Revisión")),"")</f>
        <v/>
      </c>
    </row>
    <row r="32" spans="1:12" ht="30" x14ac:dyDescent="0.25">
      <c r="A32" s="24" t="s">
        <v>27</v>
      </c>
      <c r="B32" s="25" t="s">
        <v>60</v>
      </c>
      <c r="C32" s="26" t="s">
        <v>17</v>
      </c>
      <c r="D32" s="26" t="s">
        <v>7</v>
      </c>
      <c r="E32" s="26" t="s">
        <v>84</v>
      </c>
      <c r="F32" s="27" t="str">
        <f t="shared" si="0"/>
        <v>Cualquier cambio de alcance, área o nivel de detalle genera recotización.</v>
      </c>
      <c r="G32" t="s">
        <v>60</v>
      </c>
      <c r="H32" t="s">
        <v>27</v>
      </c>
      <c r="I32" t="s">
        <v>61</v>
      </c>
      <c r="J32" t="str">
        <f>IF(AND(OR($D32="Sí",$D32="Si",$D32="SI"),$C32="Excluido"),SUMPRODUCT((($D$12:$D32="Sí")+($D$12:$D32="Si")+($D$12:$D32="SI"))*($C$12:$C32="Excluido")),"")</f>
        <v/>
      </c>
      <c r="K32" t="str">
        <f>IF(AND(OR($D32="Sí",$D32="Si",$D32="SI"),$C32="Supuesto"),SUMPRODUCT((($D$12:$D32="Sí")+($D$12:$D32="Si")+($D$12:$D32="SI"))*($C$12:$C32="Supuesto")),"")</f>
        <v/>
      </c>
      <c r="L32">
        <f>IF(AND(OR($D32="Sí",$D32="Si",$D32="SI"),$C32="Revisión"),SUMPRODUCT((($D$12:$D32="Sí")+($D$12:$D32="Si")+($D$12:$D32="SI"))*($C$12:$C32="Revisión")),"")</f>
        <v>1</v>
      </c>
    </row>
    <row r="33" spans="1:12" ht="30" x14ac:dyDescent="0.25">
      <c r="A33" s="28" t="s">
        <v>27</v>
      </c>
      <c r="B33" s="29" t="s">
        <v>62</v>
      </c>
      <c r="C33" s="30" t="s">
        <v>17</v>
      </c>
      <c r="D33" s="30" t="s">
        <v>13</v>
      </c>
      <c r="E33" s="30" t="s">
        <v>84</v>
      </c>
      <c r="F33" s="31" t="str">
        <f t="shared" si="0"/>
        <v>Nuevas especialidades, visitas extra o reuniones extraordinarias generan adicional.</v>
      </c>
      <c r="G33" t="s">
        <v>62</v>
      </c>
      <c r="H33" t="s">
        <v>27</v>
      </c>
      <c r="I33" t="s">
        <v>63</v>
      </c>
      <c r="J33" t="str">
        <f>IF(AND(OR($D33="Sí",$D33="Si",$D33="SI"),$C33="Excluido"),SUMPRODUCT((($D$12:$D33="Sí")+($D$12:$D33="Si")+($D$12:$D33="SI"))*($C$12:$C33="Excluido")),"")</f>
        <v/>
      </c>
      <c r="K33" t="str">
        <f>IF(AND(OR($D33="Sí",$D33="Si",$D33="SI"),$C33="Supuesto"),SUMPRODUCT((($D$12:$D33="Sí")+($D$12:$D33="Si")+($D$12:$D33="SI"))*($C$12:$C33="Supuesto")),"")</f>
        <v/>
      </c>
      <c r="L33" t="str">
        <f>IF(AND(OR($D33="Sí",$D33="Si",$D33="SI"),$C33="Revisión"),SUMPRODUCT((($D$12:$D33="Sí")+($D$12:$D33="Si")+($D$12:$D33="SI"))*($C$12:$C33="Revisión")),"")</f>
        <v/>
      </c>
    </row>
    <row r="34" spans="1:12" ht="30" x14ac:dyDescent="0.25">
      <c r="A34" s="32" t="s">
        <v>27</v>
      </c>
      <c r="B34" s="33" t="s">
        <v>64</v>
      </c>
      <c r="C34" s="30" t="s">
        <v>17</v>
      </c>
      <c r="D34" s="30" t="s">
        <v>13</v>
      </c>
      <c r="E34" s="30" t="s">
        <v>84</v>
      </c>
      <c r="F34" s="34" t="str">
        <f t="shared" si="0"/>
        <v>Cambios posteriores a una aprobación de etapa se consideran trabajo adicional.</v>
      </c>
      <c r="G34" t="s">
        <v>64</v>
      </c>
      <c r="H34" t="s">
        <v>27</v>
      </c>
      <c r="I34" t="s">
        <v>65</v>
      </c>
      <c r="J34" t="str">
        <f>IF(AND(OR($D34="Sí",$D34="Si",$D34="SI"),$C34="Excluido"),SUMPRODUCT((($D$12:$D34="Sí")+($D$12:$D34="Si")+($D$12:$D34="SI"))*($C$12:$C34="Excluido")),"")</f>
        <v/>
      </c>
      <c r="K34" t="str">
        <f>IF(AND(OR($D34="Sí",$D34="Si",$D34="SI"),$C34="Supuesto"),SUMPRODUCT((($D$12:$D34="Sí")+($D$12:$D34="Si")+($D$12:$D34="SI"))*($C$12:$C34="Supuesto")),"")</f>
        <v/>
      </c>
      <c r="L34" t="str">
        <f>IF(AND(OR($D34="Sí",$D34="Si",$D34="SI"),$C34="Revisión"),SUMPRODUCT((($D$12:$D34="Sí")+($D$12:$D34="Si")+($D$12:$D34="SI"))*($C$12:$C34="Revisión")),"")</f>
        <v/>
      </c>
    </row>
    <row r="35" spans="1:12" ht="30.75" thickBot="1" x14ac:dyDescent="0.3">
      <c r="A35" s="35" t="s">
        <v>27</v>
      </c>
      <c r="B35" s="36" t="s">
        <v>66</v>
      </c>
      <c r="C35" s="37" t="s">
        <v>17</v>
      </c>
      <c r="D35" s="37" t="s">
        <v>13</v>
      </c>
      <c r="E35" s="37" t="s">
        <v>84</v>
      </c>
      <c r="F35" s="38" t="str">
        <f t="shared" si="0"/>
        <v>Errores u omisiones en la información base que alteren el servicio generan ajuste económico/plazo.</v>
      </c>
      <c r="G35" t="s">
        <v>66</v>
      </c>
      <c r="H35" t="s">
        <v>27</v>
      </c>
      <c r="I35" t="s">
        <v>67</v>
      </c>
      <c r="J35" t="str">
        <f>IF(AND(OR($D35="Sí",$D35="Si",$D35="SI"),$C35="Excluido"),SUMPRODUCT((($D$12:$D35="Sí")+($D$12:$D35="Si")+($D$12:$D35="SI"))*($C$12:$C35="Excluido")),"")</f>
        <v/>
      </c>
      <c r="K35" t="str">
        <f>IF(AND(OR($D35="Sí",$D35="Si",$D35="SI"),$C35="Supuesto"),SUMPRODUCT((($D$12:$D35="Sí")+($D$12:$D35="Si")+($D$12:$D35="SI"))*($C$12:$C35="Supuesto")),"")</f>
        <v/>
      </c>
      <c r="L35" t="str">
        <f>IF(AND(OR($D35="Sí",$D35="Si",$D35="SI"),$C35="Revisión"),SUMPRODUCT((($D$12:$D35="Sí")+($D$12:$D35="Si")+($D$12:$D35="SI"))*($C$12:$C35="Revisión")),"")</f>
        <v/>
      </c>
    </row>
  </sheetData>
  <mergeCells count="2">
    <mergeCell ref="B9:H9"/>
    <mergeCell ref="A1:H1"/>
  </mergeCells>
  <conditionalFormatting sqref="D12:D35">
    <cfRule type="cellIs" dxfId="2" priority="1" operator="equal">
      <formula>"Excluido"</formula>
    </cfRule>
    <cfRule type="cellIs" dxfId="1" priority="2" operator="equal">
      <formula>"Supuesto"</formula>
    </cfRule>
    <cfRule type="cellIs" dxfId="0" priority="3" operator="equal">
      <formula>"Revisión"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'LISTAS + README'!$A$11:$A$13</xm:f>
          </x14:formula1>
          <xm:sqref>C12:C35</xm:sqref>
        </x14:dataValidation>
        <x14:dataValidation type="list" allowBlank="1" xr:uid="{00000000-0002-0000-0100-000001000000}">
          <x14:formula1>
            <xm:f>'LISTAS + README'!$C$11:$C$12</xm:f>
          </x14:formula1>
          <xm:sqref>D12:D35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showGridLines="0" tabSelected="1" zoomScale="70" zoomScaleNormal="70" workbookViewId="0">
      <selection activeCell="H34" sqref="H34"/>
    </sheetView>
  </sheetViews>
  <sheetFormatPr baseColWidth="10" defaultColWidth="9.140625" defaultRowHeight="15" x14ac:dyDescent="0.25"/>
  <cols>
    <col min="1" max="1" width="16" customWidth="1"/>
    <col min="2" max="2" width="24" customWidth="1"/>
    <col min="3" max="3" width="40" customWidth="1"/>
    <col min="4" max="4" width="6" customWidth="1"/>
  </cols>
  <sheetData>
    <row r="1" spans="1:4" ht="21" x14ac:dyDescent="0.35">
      <c r="A1" s="23" t="s">
        <v>85</v>
      </c>
      <c r="B1" s="15"/>
      <c r="C1" s="15"/>
      <c r="D1" s="15"/>
    </row>
    <row r="3" spans="1:4" x14ac:dyDescent="0.25">
      <c r="A3" s="6" t="s">
        <v>69</v>
      </c>
      <c r="B3" s="15">
        <f>TRABAJO!B3</f>
        <v>0</v>
      </c>
      <c r="C3" s="15"/>
      <c r="D3" s="15"/>
    </row>
    <row r="4" spans="1:4" x14ac:dyDescent="0.25">
      <c r="A4" s="6" t="s">
        <v>70</v>
      </c>
      <c r="B4" s="15">
        <f>TRABAJO!B4</f>
        <v>0</v>
      </c>
      <c r="C4" s="15"/>
      <c r="D4" s="15"/>
    </row>
    <row r="5" spans="1:4" x14ac:dyDescent="0.25">
      <c r="A5" s="6" t="s">
        <v>71</v>
      </c>
      <c r="B5" s="15">
        <f>TRABAJO!B5</f>
        <v>0</v>
      </c>
      <c r="C5" s="15"/>
      <c r="D5" s="15"/>
    </row>
    <row r="6" spans="1:4" x14ac:dyDescent="0.25">
      <c r="A6" s="6" t="s">
        <v>72</v>
      </c>
      <c r="B6" s="15">
        <f>TRABAJO!B6</f>
        <v>0</v>
      </c>
      <c r="C6" s="15"/>
      <c r="D6" s="15"/>
    </row>
    <row r="7" spans="1:4" x14ac:dyDescent="0.25">
      <c r="A7" s="6" t="s">
        <v>73</v>
      </c>
      <c r="B7" s="15">
        <f>TRABAJO!B7</f>
        <v>0</v>
      </c>
      <c r="C7" s="15"/>
      <c r="D7" s="15"/>
    </row>
    <row r="9" spans="1:4" x14ac:dyDescent="0.25">
      <c r="A9" s="21" t="s">
        <v>86</v>
      </c>
      <c r="B9" s="15"/>
      <c r="C9" s="15"/>
      <c r="D9" s="15"/>
    </row>
    <row r="10" spans="1:4" ht="15" customHeight="1" x14ac:dyDescent="0.25">
      <c r="A10" s="39" t="s">
        <v>92</v>
      </c>
      <c r="B10" s="39"/>
      <c r="C10" s="39"/>
      <c r="D10" s="39"/>
    </row>
    <row r="11" spans="1:4" x14ac:dyDescent="0.25">
      <c r="A11" s="39"/>
      <c r="B11" s="39"/>
      <c r="C11" s="39"/>
      <c r="D11" s="39"/>
    </row>
    <row r="12" spans="1:4" x14ac:dyDescent="0.25">
      <c r="A12" s="22" t="s">
        <v>87</v>
      </c>
      <c r="B12" s="15"/>
      <c r="C12" s="15"/>
      <c r="D12" s="15"/>
    </row>
    <row r="13" spans="1:4" x14ac:dyDescent="0.25">
      <c r="A13" s="10" t="str">
        <f>IFERROR(INDEX(TRABAJO!$C$12:$C$35,MATCH(1,TRABAJO!$J$12:$J$35,0)),"")</f>
        <v>Excluido</v>
      </c>
      <c r="B13" s="11" t="str">
        <f>IF($A13="","",INDEX(TRABAJO!$B$12:$B$35,MATCH(1,TRABAJO!$J$12:$J$35,0)))</f>
        <v>Trámites y licencias</v>
      </c>
      <c r="C13" s="19" t="str">
        <f>IF($A13="","",INDEX(TRABAJO!$F$12:$F$35,MATCH(1,TRABAJO!$J$12:$J$35,0)))</f>
        <v>No incluye gestión municipal, licencias ni aprobación ante entidades.</v>
      </c>
      <c r="D13" s="18"/>
    </row>
    <row r="14" spans="1:4" x14ac:dyDescent="0.25">
      <c r="A14" s="12" t="str">
        <f>IFERROR(INDEX(TRABAJO!$C$12:$C$35,MATCH(2,TRABAJO!$J$12:$J$35,0)),"")</f>
        <v>Excluido</v>
      </c>
      <c r="B14" s="13" t="str">
        <f>IF($A14="","",INDEX(TRABAJO!$B$12:$B$35,MATCH(2,TRABAJO!$J$12:$J$35,0)))</f>
        <v>Tasas y derechos</v>
      </c>
      <c r="C14" s="17" t="str">
        <f>IF($A14="","",INDEX(TRABAJO!$F$12:$F$35,MATCH(2,TRABAJO!$J$12:$J$35,0)))</f>
        <v>No incluye pagos por tasas, derechos, impuestos ni costos municipales.</v>
      </c>
      <c r="D14" s="18"/>
    </row>
    <row r="15" spans="1:4" x14ac:dyDescent="0.25">
      <c r="A15" s="10" t="str">
        <f>IFERROR(INDEX(TRABAJO!$C$12:$C$35,MATCH(3,TRABAJO!$J$12:$J$35,0)),"")</f>
        <v>Excluido</v>
      </c>
      <c r="B15" s="11" t="str">
        <f>IF($A15="","",INDEX(TRABAJO!$B$12:$B$35,MATCH(3,TRABAJO!$J$12:$J$35,0)))</f>
        <v>Supervisión permanente / ejecución</v>
      </c>
      <c r="C15" s="19" t="str">
        <f>IF($A15="","",INDEX(TRABAJO!$F$12:$F$35,MATCH(3,TRABAJO!$J$12:$J$35,0)))</f>
        <v>No incluye ejecución de obra, administración integral ni presencia permanente en campo.</v>
      </c>
      <c r="D15" s="18"/>
    </row>
    <row r="16" spans="1:4" x14ac:dyDescent="0.25">
      <c r="A16" s="12" t="str">
        <f>IFERROR(INDEX(TRABAJO!$C$12:$C$35,MATCH(4,TRABAJO!$J$12:$J$35,0)),"")</f>
        <v>Excluido</v>
      </c>
      <c r="B16" s="13" t="str">
        <f>IF($A16="","",INDEX(TRABAJO!$B$12:$B$35,MATCH(4,TRABAJO!$J$12:$J$35,0)))</f>
        <v>Intervenciones fuera del área definida</v>
      </c>
      <c r="C16" s="17" t="str">
        <f>IF($A16="","",INDEX(TRABAJO!$F$12:$F$35,MATCH(4,TRABAJO!$J$12:$J$35,0)))</f>
        <v>No incluye áreas no contempladas expresamente en el alcance base.</v>
      </c>
      <c r="D16" s="18"/>
    </row>
    <row r="17" spans="1:4" x14ac:dyDescent="0.25">
      <c r="A17" s="10" t="str">
        <f>IFERROR(INDEX(TRABAJO!$C$12:$C$35,MATCH(5,TRABAJO!$J$12:$J$35,0)),"")</f>
        <v>Excluido</v>
      </c>
      <c r="B17" s="11" t="str">
        <f>IF($A17="","",INDEX(TRABAJO!$B$12:$B$35,MATCH(5,TRABAJO!$J$12:$J$35,0)))</f>
        <v>Requerimientos no informados al inicio</v>
      </c>
      <c r="C17" s="19" t="str">
        <f>IF($A17="","",INDEX(TRABAJO!$F$12:$F$35,MATCH(5,TRABAJO!$J$12:$J$35,0)))</f>
        <v>No incluye exigencias o partidas que no hayan sido informadas al momento de cotizar.</v>
      </c>
      <c r="D17" s="18"/>
    </row>
    <row r="18" spans="1:4" x14ac:dyDescent="0.25">
      <c r="A18" s="12" t="str">
        <f>IFERROR(INDEX(TRABAJO!$C$12:$C$35,MATCH(6,TRABAJO!$J$12:$J$35,0)),"")</f>
        <v/>
      </c>
      <c r="B18" s="13" t="str">
        <f>IF($A18="","",INDEX(TRABAJO!$B$12:$B$35,MATCH(6,TRABAJO!$J$12:$J$35,0)))</f>
        <v/>
      </c>
      <c r="C18" s="17" t="str">
        <f>IF($A18="","",INDEX(TRABAJO!$F$12:$F$35,MATCH(6,TRABAJO!$J$12:$J$35,0)))</f>
        <v/>
      </c>
      <c r="D18" s="18"/>
    </row>
    <row r="19" spans="1:4" x14ac:dyDescent="0.25">
      <c r="A19" s="10" t="str">
        <f>IFERROR(INDEX(TRABAJO!$C$12:$C$35,MATCH(7,TRABAJO!$J$12:$J$35,0)),"")</f>
        <v/>
      </c>
      <c r="B19" s="11" t="str">
        <f>IF($A19="","",INDEX(TRABAJO!$B$12:$B$35,MATCH(7,TRABAJO!$J$12:$J$35,0)))</f>
        <v/>
      </c>
      <c r="C19" s="19" t="str">
        <f>IF($A19="","",INDEX(TRABAJO!$F$12:$F$35,MATCH(7,TRABAJO!$J$12:$J$35,0)))</f>
        <v/>
      </c>
      <c r="D19" s="18"/>
    </row>
    <row r="20" spans="1:4" x14ac:dyDescent="0.25">
      <c r="A20" s="12" t="str">
        <f>IFERROR(INDEX(TRABAJO!$C$12:$C$35,MATCH(8,TRABAJO!$J$12:$J$35,0)),"")</f>
        <v/>
      </c>
      <c r="B20" s="13" t="str">
        <f>IF($A20="","",INDEX(TRABAJO!$B$12:$B$35,MATCH(8,TRABAJO!$J$12:$J$35,0)))</f>
        <v/>
      </c>
      <c r="C20" s="17" t="str">
        <f>IF($A20="","",INDEX(TRABAJO!$F$12:$F$35,MATCH(8,TRABAJO!$J$12:$J$35,0)))</f>
        <v/>
      </c>
      <c r="D20" s="18"/>
    </row>
    <row r="21" spans="1:4" x14ac:dyDescent="0.25">
      <c r="A21" s="10" t="str">
        <f>IFERROR(INDEX(TRABAJO!$C$12:$C$35,MATCH(9,TRABAJO!$J$12:$J$35,0)),"")</f>
        <v/>
      </c>
      <c r="B21" s="11" t="str">
        <f>IF($A21="","",INDEX(TRABAJO!$B$12:$B$35,MATCH(9,TRABAJO!$J$12:$J$35,0)))</f>
        <v/>
      </c>
      <c r="C21" s="19" t="str">
        <f>IF($A21="","",INDEX(TRABAJO!$F$12:$F$35,MATCH(9,TRABAJO!$J$12:$J$35,0)))</f>
        <v/>
      </c>
      <c r="D21" s="18"/>
    </row>
    <row r="22" spans="1:4" x14ac:dyDescent="0.25">
      <c r="A22" s="12" t="str">
        <f>IFERROR(INDEX(TRABAJO!$C$12:$C$35,MATCH(10,TRABAJO!$J$12:$J$35,0)),"")</f>
        <v/>
      </c>
      <c r="B22" s="13" t="str">
        <f>IF($A22="","",INDEX(TRABAJO!$B$12:$B$35,MATCH(10,TRABAJO!$J$12:$J$35,0)))</f>
        <v/>
      </c>
      <c r="C22" s="17" t="str">
        <f>IF($A22="","",INDEX(TRABAJO!$F$12:$F$35,MATCH(10,TRABAJO!$J$12:$J$35,0)))</f>
        <v/>
      </c>
      <c r="D22" s="18"/>
    </row>
    <row r="24" spans="1:4" x14ac:dyDescent="0.25">
      <c r="A24" s="22" t="s">
        <v>88</v>
      </c>
      <c r="B24" s="15"/>
      <c r="C24" s="15"/>
      <c r="D24" s="15"/>
    </row>
    <row r="25" spans="1:4" x14ac:dyDescent="0.25">
      <c r="A25" s="10" t="str">
        <f>IFERROR(INDEX(TRABAJO!$C$12:$C$35,MATCH(1,TRABAJO!$K$12:$K$35,0)),"")</f>
        <v>Supuesto</v>
      </c>
      <c r="B25" s="11" t="str">
        <f>IF($A25="","",INDEX(TRABAJO!$B$12:$B$35,MATCH(1,TRABAJO!$K$12:$K$35,0)))</f>
        <v>Condiciones existentes regulares</v>
      </c>
      <c r="C25" s="19" t="str">
        <f>IF($A25="","",INDEX(TRABAJO!$F$12:$F$35,MATCH(1,TRABAJO!$K$12:$K$35,0)))</f>
        <v>Se asume que el inmueble no presenta contingencias ocultas no visibles al momento de la propuesta.</v>
      </c>
      <c r="D25" s="18"/>
    </row>
    <row r="26" spans="1:4" x14ac:dyDescent="0.25">
      <c r="A26" s="12" t="str">
        <f>IFERROR(INDEX(TRABAJO!$C$12:$C$35,MATCH(2,TRABAJO!$K$12:$K$35,0)),"")</f>
        <v>Supuesto</v>
      </c>
      <c r="B26" s="13" t="str">
        <f>IF($A26="","",INDEX(TRABAJO!$B$12:$B$35,MATCH(2,TRABAJO!$K$12:$K$35,0)))</f>
        <v>Número de revisiones</v>
      </c>
      <c r="C26" s="17" t="str">
        <f>IF($A26="","",INDEX(TRABAJO!$F$12:$F$35,MATCH(2,TRABAJO!$K$12:$K$35,0)))</f>
        <v>Se asume un máximo de rondas de cambios/revisión según lo ofertado.</v>
      </c>
      <c r="D26" s="18"/>
    </row>
    <row r="27" spans="1:4" x14ac:dyDescent="0.25">
      <c r="A27" s="10" t="str">
        <f>IFERROR(INDEX(TRABAJO!$C$12:$C$35,MATCH(3,TRABAJO!$K$12:$K$35,0)),"")</f>
        <v>Supuesto</v>
      </c>
      <c r="B27" s="11" t="str">
        <f>IF($A27="","",INDEX(TRABAJO!$B$12:$B$35,MATCH(3,TRABAJO!$K$12:$K$35,0)))</f>
        <v>Aprobaciones por etapa</v>
      </c>
      <c r="C27" s="19" t="str">
        <f>IF($A27="","",INDEX(TRABAJO!$F$12:$F$35,MATCH(3,TRABAJO!$K$12:$K$35,0)))</f>
        <v>Se asume que el cliente valida cada etapa antes de avanzar a la siguiente.</v>
      </c>
      <c r="D27" s="18"/>
    </row>
    <row r="28" spans="1:4" x14ac:dyDescent="0.25">
      <c r="A28" s="12" t="str">
        <f>IFERROR(INDEX(TRABAJO!$C$12:$C$35,MATCH(4,TRABAJO!$K$12:$K$35,0)),"")</f>
        <v>Supuesto</v>
      </c>
      <c r="B28" s="13" t="str">
        <f>IF($A28="","",INDEX(TRABAJO!$B$12:$B$35,MATCH(4,TRABAJO!$K$12:$K$35,0)))</f>
        <v>Cambios fuera de alcance</v>
      </c>
      <c r="C28" s="17" t="str">
        <f>IF($A28="","",INDEX(TRABAJO!$F$12:$F$35,MATCH(4,TRABAJO!$K$12:$K$35,0)))</f>
        <v>Todo cambio fuera del alcance aprobado se cotiza aparte.</v>
      </c>
      <c r="D28" s="18"/>
    </row>
    <row r="29" spans="1:4" x14ac:dyDescent="0.25">
      <c r="A29" s="10" t="str">
        <f>IFERROR(INDEX(TRABAJO!$C$12:$C$35,MATCH(5,TRABAJO!$K$12:$K$35,0)),"")</f>
        <v>Supuesto</v>
      </c>
      <c r="B29" s="11" t="str">
        <f>IF($A29="","",INDEX(TRABAJO!$B$12:$B$35,MATCH(5,TRABAJO!$K$12:$K$35,0)))</f>
        <v>Inicio sujeto a adelanto o aprobación</v>
      </c>
      <c r="C29" s="19" t="str">
        <f>IF($A29="","",INDEX(TRABAJO!$F$12:$F$35,MATCH(5,TRABAJO!$K$12:$K$35,0)))</f>
        <v>El inicio corre desde la aprobación formal y/o pago inicial.</v>
      </c>
      <c r="D29" s="18"/>
    </row>
    <row r="30" spans="1:4" x14ac:dyDescent="0.25">
      <c r="A30" s="12" t="str">
        <f>IFERROR(INDEX(TRABAJO!$C$12:$C$35,MATCH(6,TRABAJO!$K$12:$K$35,0)),"")</f>
        <v>Supuesto</v>
      </c>
      <c r="B30" s="13" t="str">
        <f>IF($A30="","",INDEX(TRABAJO!$B$12:$B$35,MATCH(6,TRABAJO!$K$12:$K$35,0)))</f>
        <v>Retroalimentación oportuna del cliente</v>
      </c>
      <c r="C30" s="17" t="str">
        <f>IF($A30="","",INDEX(TRABAJO!$F$12:$F$35,MATCH(6,TRABAJO!$K$12:$K$35,0)))</f>
        <v>Los plazos suponen respuestas y validaciones del cliente dentro de tiempos razonables.</v>
      </c>
      <c r="D30" s="18"/>
    </row>
    <row r="31" spans="1:4" x14ac:dyDescent="0.25">
      <c r="A31" s="10" t="str">
        <f>IFERROR(INDEX(TRABAJO!$C$12:$C$35,MATCH(7,TRABAJO!$K$12:$K$35,0)),"")</f>
        <v>Supuesto</v>
      </c>
      <c r="B31" s="11" t="str">
        <f>IF($A31="","",INDEX(TRABAJO!$B$12:$B$35,MATCH(7,TRABAJO!$K$12:$K$35,0)))</f>
        <v>Terceros y entidades externas</v>
      </c>
      <c r="C31" s="19" t="str">
        <f>IF($A31="","",INDEX(TRABAJO!$F$12:$F$35,MATCH(7,TRABAJO!$K$12:$K$35,0)))</f>
        <v>No se consideran demoras atribuibles a terceros, proveedores, comités o entidades.</v>
      </c>
      <c r="D31" s="18"/>
    </row>
    <row r="32" spans="1:4" x14ac:dyDescent="0.25">
      <c r="A32" s="12" t="str">
        <f>IFERROR(INDEX(TRABAJO!$C$12:$C$35,MATCH(8,TRABAJO!$K$12:$K$35,0)),"")</f>
        <v/>
      </c>
      <c r="B32" s="13" t="str">
        <f>IF($A32="","",INDEX(TRABAJO!$B$12:$B$35,MATCH(8,TRABAJO!$K$12:$K$35,0)))</f>
        <v/>
      </c>
      <c r="C32" s="17" t="str">
        <f>IF($A32="","",INDEX(TRABAJO!$F$12:$F$35,MATCH(8,TRABAJO!$K$12:$K$35,0)))</f>
        <v/>
      </c>
      <c r="D32" s="18"/>
    </row>
    <row r="33" spans="1:4" x14ac:dyDescent="0.25">
      <c r="A33" s="10" t="str">
        <f>IFERROR(INDEX(TRABAJO!$C$12:$C$35,MATCH(9,TRABAJO!$K$12:$K$35,0)),"")</f>
        <v/>
      </c>
      <c r="B33" s="11" t="str">
        <f>IF($A33="","",INDEX(TRABAJO!$B$12:$B$35,MATCH(9,TRABAJO!$K$12:$K$35,0)))</f>
        <v/>
      </c>
      <c r="C33" s="19" t="str">
        <f>IF($A33="","",INDEX(TRABAJO!$F$12:$F$35,MATCH(9,TRABAJO!$K$12:$K$35,0)))</f>
        <v/>
      </c>
      <c r="D33" s="18"/>
    </row>
    <row r="34" spans="1:4" x14ac:dyDescent="0.25">
      <c r="A34" s="12" t="str">
        <f>IFERROR(INDEX(TRABAJO!$C$12:$C$35,MATCH(10,TRABAJO!$K$12:$K$35,0)),"")</f>
        <v/>
      </c>
      <c r="B34" s="13" t="str">
        <f>IF($A34="","",INDEX(TRABAJO!$B$12:$B$35,MATCH(10,TRABAJO!$K$12:$K$35,0)))</f>
        <v/>
      </c>
      <c r="C34" s="17" t="str">
        <f>IF($A34="","",INDEX(TRABAJO!$F$12:$F$35,MATCH(10,TRABAJO!$K$12:$K$35,0)))</f>
        <v/>
      </c>
      <c r="D34" s="18"/>
    </row>
    <row r="36" spans="1:4" x14ac:dyDescent="0.25">
      <c r="A36" s="22" t="s">
        <v>89</v>
      </c>
      <c r="B36" s="15"/>
      <c r="C36" s="15"/>
      <c r="D36" s="15"/>
    </row>
    <row r="37" spans="1:4" x14ac:dyDescent="0.25">
      <c r="A37" s="10" t="str">
        <f>IFERROR(INDEX(TRABAJO!$C$12:$C$35,MATCH(1,TRABAJO!$L$12:$L$35,0)),"")</f>
        <v>Revisión</v>
      </c>
      <c r="B37" s="11" t="str">
        <f>IF($A37="","",INDEX(TRABAJO!$B$12:$B$35,MATCH(1,TRABAJO!$L$12:$L$35,0)))</f>
        <v>Cambio de alcance</v>
      </c>
      <c r="C37" s="19" t="str">
        <f>IF($A37="","",INDEX(TRABAJO!$F$12:$F$35,MATCH(1,TRABAJO!$L$12:$L$35,0)))</f>
        <v>Cualquier cambio de alcance, área o nivel de detalle genera recotización.</v>
      </c>
      <c r="D37" s="18"/>
    </row>
    <row r="38" spans="1:4" x14ac:dyDescent="0.25">
      <c r="A38" s="12" t="str">
        <f>IFERROR(INDEX(TRABAJO!$C$12:$C$35,MATCH(2,TRABAJO!$L$12:$L$35,0)),"")</f>
        <v/>
      </c>
      <c r="B38" s="13" t="str">
        <f>IF($A38="","",INDEX(TRABAJO!$B$12:$B$35,MATCH(2,TRABAJO!$L$12:$L$35,0)))</f>
        <v/>
      </c>
      <c r="C38" s="17" t="str">
        <f>IF($A38="","",INDEX(TRABAJO!$F$12:$F$35,MATCH(2,TRABAJO!$L$12:$L$35,0)))</f>
        <v/>
      </c>
      <c r="D38" s="18"/>
    </row>
    <row r="39" spans="1:4" x14ac:dyDescent="0.25">
      <c r="A39" s="10" t="str">
        <f>IFERROR(INDEX(TRABAJO!$C$12:$C$35,MATCH(3,TRABAJO!$L$12:$L$35,0)),"")</f>
        <v/>
      </c>
      <c r="B39" s="11" t="str">
        <f>IF($A39="","",INDEX(TRABAJO!$B$12:$B$35,MATCH(3,TRABAJO!$L$12:$L$35,0)))</f>
        <v/>
      </c>
      <c r="C39" s="19" t="str">
        <f>IF($A39="","",INDEX(TRABAJO!$F$12:$F$35,MATCH(3,TRABAJO!$L$12:$L$35,0)))</f>
        <v/>
      </c>
      <c r="D39" s="18"/>
    </row>
    <row r="40" spans="1:4" x14ac:dyDescent="0.25">
      <c r="A40" s="12" t="str">
        <f>IFERROR(INDEX(TRABAJO!$C$12:$C$35,MATCH(4,TRABAJO!$L$12:$L$35,0)),"")</f>
        <v/>
      </c>
      <c r="B40" s="13" t="str">
        <f>IF($A40="","",INDEX(TRABAJO!$B$12:$B$35,MATCH(4,TRABAJO!$L$12:$L$35,0)))</f>
        <v/>
      </c>
      <c r="C40" s="17" t="str">
        <f>IF($A40="","",INDEX(TRABAJO!$F$12:$F$35,MATCH(4,TRABAJO!$L$12:$L$35,0)))</f>
        <v/>
      </c>
      <c r="D40" s="18"/>
    </row>
    <row r="41" spans="1:4" x14ac:dyDescent="0.25">
      <c r="A41" s="10" t="str">
        <f>IFERROR(INDEX(TRABAJO!$C$12:$C$35,MATCH(5,TRABAJO!$L$12:$L$35,0)),"")</f>
        <v/>
      </c>
      <c r="B41" s="11" t="str">
        <f>IF($A41="","",INDEX(TRABAJO!$B$12:$B$35,MATCH(5,TRABAJO!$L$12:$L$35,0)))</f>
        <v/>
      </c>
      <c r="C41" s="19" t="str">
        <f>IF($A41="","",INDEX(TRABAJO!$F$12:$F$35,MATCH(5,TRABAJO!$L$12:$L$35,0)))</f>
        <v/>
      </c>
      <c r="D41" s="18"/>
    </row>
    <row r="42" spans="1:4" x14ac:dyDescent="0.25">
      <c r="A42" s="12" t="str">
        <f>IFERROR(INDEX(TRABAJO!$C$12:$C$35,MATCH(6,TRABAJO!$L$12:$L$35,0)),"")</f>
        <v/>
      </c>
      <c r="B42" s="13" t="str">
        <f>IF($A42="","",INDEX(TRABAJO!$B$12:$B$35,MATCH(6,TRABAJO!$L$12:$L$35,0)))</f>
        <v/>
      </c>
      <c r="C42" s="17" t="str">
        <f>IF($A42="","",INDEX(TRABAJO!$F$12:$F$35,MATCH(6,TRABAJO!$L$12:$L$35,0)))</f>
        <v/>
      </c>
      <c r="D42" s="18"/>
    </row>
    <row r="43" spans="1:4" x14ac:dyDescent="0.25">
      <c r="A43" s="10" t="str">
        <f>IFERROR(INDEX(TRABAJO!$C$12:$C$35,MATCH(7,TRABAJO!$L$12:$L$35,0)),"")</f>
        <v/>
      </c>
      <c r="B43" s="11" t="str">
        <f>IF($A43="","",INDEX(TRABAJO!$B$12:$B$35,MATCH(7,TRABAJO!$L$12:$L$35,0)))</f>
        <v/>
      </c>
      <c r="C43" s="19" t="str">
        <f>IF($A43="","",INDEX(TRABAJO!$F$12:$F$35,MATCH(7,TRABAJO!$L$12:$L$35,0)))</f>
        <v/>
      </c>
      <c r="D43" s="18"/>
    </row>
    <row r="44" spans="1:4" x14ac:dyDescent="0.25">
      <c r="A44" s="12" t="str">
        <f>IFERROR(INDEX(TRABAJO!$C$12:$C$35,MATCH(8,TRABAJO!$L$12:$L$35,0)),"")</f>
        <v/>
      </c>
      <c r="B44" s="13" t="str">
        <f>IF($A44="","",INDEX(TRABAJO!$B$12:$B$35,MATCH(8,TRABAJO!$L$12:$L$35,0)))</f>
        <v/>
      </c>
      <c r="C44" s="17" t="str">
        <f>IF($A44="","",INDEX(TRABAJO!$F$12:$F$35,MATCH(8,TRABAJO!$L$12:$L$35,0)))</f>
        <v/>
      </c>
      <c r="D44" s="18"/>
    </row>
    <row r="45" spans="1:4" x14ac:dyDescent="0.25">
      <c r="A45" s="10" t="str">
        <f>IFERROR(INDEX(TRABAJO!$C$12:$C$35,MATCH(9,TRABAJO!$L$12:$L$35,0)),"")</f>
        <v/>
      </c>
      <c r="B45" s="11" t="str">
        <f>IF($A45="","",INDEX(TRABAJO!$B$12:$B$35,MATCH(9,TRABAJO!$L$12:$L$35,0)))</f>
        <v/>
      </c>
      <c r="C45" s="19" t="str">
        <f>IF($A45="","",INDEX(TRABAJO!$F$12:$F$35,MATCH(9,TRABAJO!$L$12:$L$35,0)))</f>
        <v/>
      </c>
      <c r="D45" s="18"/>
    </row>
    <row r="46" spans="1:4" x14ac:dyDescent="0.25">
      <c r="A46" s="12" t="str">
        <f>IFERROR(INDEX(TRABAJO!$C$12:$C$35,MATCH(10,TRABAJO!$L$12:$L$35,0)),"")</f>
        <v/>
      </c>
      <c r="B46" s="13" t="str">
        <f>IF($A46="","",INDEX(TRABAJO!$B$12:$B$35,MATCH(10,TRABAJO!$L$12:$L$35,0)))</f>
        <v/>
      </c>
      <c r="C46" s="17" t="str">
        <f>IF($A46="","",INDEX(TRABAJO!$F$12:$F$35,MATCH(10,TRABAJO!$L$12:$L$35,0)))</f>
        <v/>
      </c>
      <c r="D46" s="18"/>
    </row>
    <row r="49" spans="1:4" x14ac:dyDescent="0.25">
      <c r="A49" s="21" t="s">
        <v>90</v>
      </c>
      <c r="B49" s="15"/>
      <c r="C49" s="15"/>
      <c r="D49" s="15"/>
    </row>
    <row r="50" spans="1:4" x14ac:dyDescent="0.25">
      <c r="A50" s="20" t="s">
        <v>91</v>
      </c>
      <c r="B50" s="15"/>
      <c r="C50" s="15"/>
      <c r="D50" s="15"/>
    </row>
    <row r="51" spans="1:4" x14ac:dyDescent="0.25">
      <c r="A51" s="15"/>
      <c r="B51" s="15"/>
      <c r="C51" s="15"/>
      <c r="D51" s="15"/>
    </row>
  </sheetData>
  <mergeCells count="43">
    <mergeCell ref="B6:D6"/>
    <mergeCell ref="A36:D36"/>
    <mergeCell ref="A1:D1"/>
    <mergeCell ref="C43:D43"/>
    <mergeCell ref="B5:D5"/>
    <mergeCell ref="C21:D21"/>
    <mergeCell ref="C27:D27"/>
    <mergeCell ref="B4:D4"/>
    <mergeCell ref="B7:D7"/>
    <mergeCell ref="C17:D17"/>
    <mergeCell ref="C39:D39"/>
    <mergeCell ref="B3:D3"/>
    <mergeCell ref="C32:D32"/>
    <mergeCell ref="C38:D38"/>
    <mergeCell ref="A12:D12"/>
    <mergeCell ref="C19:D19"/>
    <mergeCell ref="A9:D9"/>
    <mergeCell ref="C29:D29"/>
    <mergeCell ref="C16:D16"/>
    <mergeCell ref="C25:D25"/>
    <mergeCell ref="C41:D41"/>
    <mergeCell ref="C22:D22"/>
    <mergeCell ref="A24:D24"/>
    <mergeCell ref="C40:D40"/>
    <mergeCell ref="C31:D31"/>
    <mergeCell ref="C37:D37"/>
    <mergeCell ref="C28:D28"/>
    <mergeCell ref="C13:D13"/>
    <mergeCell ref="C18:D18"/>
    <mergeCell ref="A10:D11"/>
    <mergeCell ref="C14:D14"/>
    <mergeCell ref="C45:D45"/>
    <mergeCell ref="C26:D26"/>
    <mergeCell ref="A50:D51"/>
    <mergeCell ref="C20:D20"/>
    <mergeCell ref="C44:D44"/>
    <mergeCell ref="A49:D49"/>
    <mergeCell ref="C46:D46"/>
    <mergeCell ref="C34:D34"/>
    <mergeCell ref="C30:D30"/>
    <mergeCell ref="C15:D15"/>
    <mergeCell ref="C33:D33"/>
    <mergeCell ref="C42:D42"/>
  </mergeCells>
  <pageMargins left="0.3" right="0.3" top="0.4" bottom="0.4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LISTAS + README</vt:lpstr>
      <vt:lpstr>TRABAJO</vt:lpstr>
      <vt:lpstr>PRESENTACION</vt:lpstr>
      <vt:lpstr>PRESENTACION!Área_de_impresión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matteo Uccelli meneses</cp:lastModifiedBy>
  <dcterms:created xsi:type="dcterms:W3CDTF">2026-03-13T00:35:02Z</dcterms:created>
  <dcterms:modified xsi:type="dcterms:W3CDTF">2026-03-13T02:32:43Z</dcterms:modified>
</cp:coreProperties>
</file>