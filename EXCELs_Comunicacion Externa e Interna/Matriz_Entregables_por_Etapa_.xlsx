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767CCE0-B8AF-413F-AB35-63AF93AF0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S + README" sheetId="1" r:id="rId1"/>
    <sheet name="PRESENTACIÓN" sheetId="2" r:id="rId2"/>
  </sheets>
  <definedNames>
    <definedName name="_xlnm.Print_Area" localSheetId="1">PRESENTACIÓN!$A$1:$H$55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O35" i="1"/>
  <c r="N35" i="1"/>
  <c r="M35" i="1"/>
  <c r="L35" i="1"/>
  <c r="K35" i="1"/>
  <c r="O34" i="1"/>
  <c r="N34" i="1"/>
  <c r="M34" i="1"/>
  <c r="L34" i="1"/>
  <c r="K34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A46" i="2" l="1"/>
  <c r="A40" i="2"/>
  <c r="A32" i="2"/>
  <c r="A47" i="2"/>
  <c r="A15" i="2"/>
  <c r="A23" i="2"/>
  <c r="A22" i="2"/>
  <c r="A24" i="2"/>
  <c r="A38" i="2"/>
  <c r="A39" i="2"/>
  <c r="A33" i="2"/>
  <c r="A44" i="2"/>
  <c r="A37" i="2"/>
  <c r="A19" i="2"/>
  <c r="A20" i="2"/>
  <c r="A21" i="2"/>
  <c r="A28" i="2"/>
  <c r="A29" i="2"/>
  <c r="A30" i="2"/>
  <c r="A31" i="2"/>
  <c r="A12" i="2"/>
  <c r="A13" i="2"/>
  <c r="A45" i="2"/>
  <c r="A14" i="2"/>
</calcChain>
</file>

<file path=xl/sharedStrings.xml><?xml version="1.0" encoding="utf-8"?>
<sst xmlns="http://schemas.openxmlformats.org/spreadsheetml/2006/main" count="245" uniqueCount="127">
  <si>
    <t>MATRIZ DE ENTREGABLES POR ETAPA (Hotmart)</t>
  </si>
  <si>
    <t>READ ME (cómo usar):
1) Ve a la hoja “PRESENTACIÓN” y elige el Paquete (tipo de servicio).
2) Vuelve aquí y ajusta la matriz (agrega/quita entregables, cambia cantidades, marca Incluye=Sí/No).
3) La hoja “PRESENTACIÓN” se llena sola por etapa usando solo los entregables con Incluye=Sí.
4) Imprime o exporta a PDF la hoja “PRESENTACIÓN” para entregarla al cliente.</t>
  </si>
  <si>
    <t>LISTAS (para desplegables)</t>
  </si>
  <si>
    <t>PAQUETES</t>
  </si>
  <si>
    <t>ETAPAS</t>
  </si>
  <si>
    <t>INCLUYE</t>
  </si>
  <si>
    <t>Diagnóstico / consultoría</t>
  </si>
  <si>
    <t>Levantamiento</t>
  </si>
  <si>
    <t>Sí</t>
  </si>
  <si>
    <t>Anteproyecto</t>
  </si>
  <si>
    <t>No</t>
  </si>
  <si>
    <t>Proyecto arquitectónico</t>
  </si>
  <si>
    <t>Desarrollo</t>
  </si>
  <si>
    <t>Opcional</t>
  </si>
  <si>
    <t>Expediente técnico</t>
  </si>
  <si>
    <t>Expediente</t>
  </si>
  <si>
    <t>Supervisión de obra</t>
  </si>
  <si>
    <t>Obra</t>
  </si>
  <si>
    <t>MATRIZ (edítala aquí)</t>
  </si>
  <si>
    <t>ID</t>
  </si>
  <si>
    <t>Paquete</t>
  </si>
  <si>
    <t>Etapa</t>
  </si>
  <si>
    <t>Objetivo (1 línea)</t>
  </si>
  <si>
    <t>Entregable (cliente)</t>
  </si>
  <si>
    <t>Formato</t>
  </si>
  <si>
    <t>Nivel</t>
  </si>
  <si>
    <t>Cantidad</t>
  </si>
  <si>
    <t>Incluye</t>
  </si>
  <si>
    <t>Notas</t>
  </si>
  <si>
    <t>Seq_Lev</t>
  </si>
  <si>
    <t>Seq_Ant</t>
  </si>
  <si>
    <t>Seq_Des</t>
  </si>
  <si>
    <t>Seq_Exp</t>
  </si>
  <si>
    <t>Seq_Obra</t>
  </si>
  <si>
    <t>ITM-001</t>
  </si>
  <si>
    <t>Entender el encargo y el estado actual.</t>
  </si>
  <si>
    <t>Ficha de requerimientos + información base del encargo.</t>
  </si>
  <si>
    <t>PDF</t>
  </si>
  <si>
    <t>Base</t>
  </si>
  <si>
    <t>1</t>
  </si>
  <si>
    <t>ITM-002</t>
  </si>
  <si>
    <t>ITM-003</t>
  </si>
  <si>
    <t>ITM-004</t>
  </si>
  <si>
    <t>ITM-005</t>
  </si>
  <si>
    <t>Definir dirección y recomendaciones.</t>
  </si>
  <si>
    <t>Diagnóstico + recomendaciones de intervención y próximos pasos.</t>
  </si>
  <si>
    <t>Conceptual</t>
  </si>
  <si>
    <t>No es proyecto completo.</t>
  </si>
  <si>
    <t>ITM-006</t>
  </si>
  <si>
    <t>Definir propuesta espacial preliminar.</t>
  </si>
  <si>
    <t>Propuesta de layout / distribución preliminar.</t>
  </si>
  <si>
    <t>Preliminar</t>
  </si>
  <si>
    <t>Incluye rondas acordadas.</t>
  </si>
  <si>
    <t>ITM-007</t>
  </si>
  <si>
    <t>Alinear estética y criterios.</t>
  </si>
  <si>
    <t>Moodboard + criterios de materialidad referencial.</t>
  </si>
  <si>
    <t>Referencial</t>
  </si>
  <si>
    <t>ITM-008</t>
  </si>
  <si>
    <t>Comunicar la idea.</t>
  </si>
  <si>
    <t>Plantas preliminares + cortes/elevaciones base.</t>
  </si>
  <si>
    <t>1 paquete</t>
  </si>
  <si>
    <t>ITM-009</t>
  </si>
  <si>
    <t>Visualizar el espacio.</t>
  </si>
  <si>
    <t>Vistas 3D / renders base (según alcance).</t>
  </si>
  <si>
    <t>JPG/PDF</t>
  </si>
  <si>
    <t>3–5</t>
  </si>
  <si>
    <t>ITM-010</t>
  </si>
  <si>
    <t>Desarrollar el proyecto aprobado.</t>
  </si>
  <si>
    <t>Plantas, cortes y elevaciones desarrolladas.</t>
  </si>
  <si>
    <t>Desarrollado</t>
  </si>
  <si>
    <t>ITM-011</t>
  </si>
  <si>
    <t>Definir soluciones clave.</t>
  </si>
  <si>
    <t>Detalles arquitectónicos críticos (según proyecto).</t>
  </si>
  <si>
    <t>8–15</t>
  </si>
  <si>
    <t>ITM-012</t>
  </si>
  <si>
    <t>Alinear especificaciones base.</t>
  </si>
  <si>
    <t>Cuadro de acabados / criterios base (si aplica).</t>
  </si>
  <si>
    <t>ITM-013</t>
  </si>
  <si>
    <t>Coordinar decisiones.</t>
  </si>
  <si>
    <t>Acta de decisiones / acuerdos de revisión.</t>
  </si>
  <si>
    <t>Control</t>
  </si>
  <si>
    <t>ITM-014</t>
  </si>
  <si>
    <t>Documentar para construcción.</t>
  </si>
  <si>
    <t>Planos arquitectónicos para obra (set).</t>
  </si>
  <si>
    <t>Constructivo</t>
  </si>
  <si>
    <t>1 set</t>
  </si>
  <si>
    <t>ITM-015</t>
  </si>
  <si>
    <t>Asegurar entendimiento.</t>
  </si>
  <si>
    <t>Memoria descriptiva arquitectónica.</t>
  </si>
  <si>
    <t>Técnico</t>
  </si>
  <si>
    <t>ITM-016</t>
  </si>
  <si>
    <t>Apoyar compatibilización.</t>
  </si>
  <si>
    <t>Lista de pendientes y criterios para coordinación.</t>
  </si>
  <si>
    <t>Especialidades no incluidas salvo acuerdo.</t>
  </si>
  <si>
    <t>ITM-017</t>
  </si>
  <si>
    <t>Acompañar la ejecución con control.</t>
  </si>
  <si>
    <t>Visitas programadas + informe por visita.</t>
  </si>
  <si>
    <t>4–8</t>
  </si>
  <si>
    <t>ITM-018</t>
  </si>
  <si>
    <t>Resolver dudas en obra.</t>
  </si>
  <si>
    <t>Absolución de consultas y revisiones puntuales.</t>
  </si>
  <si>
    <t>Email/PDF</t>
  </si>
  <si>
    <t>Soporte</t>
  </si>
  <si>
    <t>Según obra</t>
  </si>
  <si>
    <t>ITM-019</t>
  </si>
  <si>
    <t>Controlar cambios.</t>
  </si>
  <si>
    <t>Registro de cambios y adicionales (si aplica).</t>
  </si>
  <si>
    <t>ITM-020</t>
  </si>
  <si>
    <t>Diseño + ejecución</t>
  </si>
  <si>
    <t>Implementación integral.</t>
  </si>
  <si>
    <t>Cronograma base + control de hitos.</t>
  </si>
  <si>
    <t>ITM-021</t>
  </si>
  <si>
    <t>Asegurar entregables finales.</t>
  </si>
  <si>
    <t>Acta de cierre y entrega final.</t>
  </si>
  <si>
    <t>Cierre</t>
  </si>
  <si>
    <t>MATRIZ DE ENTREGABLES (para cliente)</t>
  </si>
  <si>
    <t>Cliente</t>
  </si>
  <si>
    <t>Proyecto</t>
  </si>
  <si>
    <t>Ubicación</t>
  </si>
  <si>
    <t>Fecha</t>
  </si>
  <si>
    <t>Esta matriz resume qué se entrega por etapa. Solo muestra ítems con Incluye=Sí para el paquete seleccionado.</t>
  </si>
  <si>
    <t>LEVANTAMIENTO</t>
  </si>
  <si>
    <t>Entregables (incluye formato)</t>
  </si>
  <si>
    <t>ANTEPROYECTO</t>
  </si>
  <si>
    <t>DESARROLLO</t>
  </si>
  <si>
    <t>EXPEDIENTE</t>
  </si>
  <si>
    <t>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</si>
</sst>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1E1E1E"/>
      <name val="Calibri"/>
    </font>
    <font>
      <b/>
      <sz val="11"/>
      <color rgb="FFFFFFFF"/>
      <name val="Calibri"/>
    </font>
    <font>
      <b/>
      <sz val="10"/>
      <color rgb="FF1E1E1E"/>
      <name val="Calibri"/>
    </font>
    <font>
      <b/>
      <sz val="10"/>
      <color rgb="FFFFFFFF"/>
      <name val="Calibri"/>
    </font>
    <font>
      <sz val="10"/>
      <color rgb="FF1F4E79"/>
      <name val="Calibri"/>
    </font>
    <font>
      <sz val="9"/>
      <color rgb="FF1E1E1E"/>
      <name val="Calibri"/>
    </font>
    <font>
      <i/>
      <sz val="9"/>
      <color rgb="FF1E1E1E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A3D"/>
      </patternFill>
    </fill>
    <fill>
      <patternFill patternType="solid">
        <fgColor rgb="FFD9E7E8"/>
      </patternFill>
    </fill>
    <fill>
      <patternFill patternType="solid">
        <fgColor rgb="FF466266"/>
      </patternFill>
    </fill>
    <fill>
      <patternFill patternType="solid">
        <fgColor rgb="FFE9EFF3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  <border>
      <left/>
      <right/>
      <top style="thin">
        <color rgb="FFB7C3CC"/>
      </top>
      <bottom/>
      <diagonal/>
    </border>
    <border>
      <left/>
      <right style="thin">
        <color rgb="FFB7C3CC"/>
      </right>
      <top style="thin">
        <color rgb="FFB7C3CC"/>
      </top>
      <bottom/>
      <diagonal/>
    </border>
    <border>
      <left/>
      <right/>
      <top style="thin">
        <color rgb="FFB7C3CC"/>
      </top>
      <bottom style="thin">
        <color rgb="FFB7C3CC"/>
      </bottom>
      <diagonal/>
    </border>
    <border>
      <left/>
      <right style="thin">
        <color rgb="FFB7C3CC"/>
      </right>
      <top style="thin">
        <color rgb="FFB7C3CC"/>
      </top>
      <bottom style="thin">
        <color rgb="FFB7C3CC"/>
      </bottom>
      <diagonal/>
    </border>
    <border>
      <left style="thin">
        <color rgb="FFB7C3CC"/>
      </left>
      <right/>
      <top/>
      <bottom/>
      <diagonal/>
    </border>
    <border>
      <left/>
      <right style="thin">
        <color rgb="FFB7C3CC"/>
      </right>
      <top/>
      <bottom/>
      <diagonal/>
    </border>
    <border>
      <left style="thin">
        <color rgb="FFB7C3CC"/>
      </left>
      <right/>
      <top/>
      <bottom style="thin">
        <color rgb="FFB7C3CC"/>
      </bottom>
      <diagonal/>
    </border>
    <border>
      <left/>
      <right/>
      <top/>
      <bottom style="thin">
        <color rgb="FFB7C3CC"/>
      </bottom>
      <diagonal/>
    </border>
    <border>
      <left/>
      <right style="thin">
        <color rgb="FFB7C3CC"/>
      </right>
      <top/>
      <bottom style="thin">
        <color rgb="FFB7C3CC"/>
      </bottom>
      <diagonal/>
    </border>
    <border>
      <left style="thin">
        <color rgb="FFB7C3CC"/>
      </left>
      <right/>
      <top style="thin">
        <color rgb="FFB7C3C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2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6" fillId="7" borderId="1" xfId="0" applyFont="1" applyFill="1" applyBorder="1" applyAlignment="1">
      <alignment vertical="center" wrapText="1"/>
    </xf>
    <xf numFmtId="164" fontId="6" fillId="7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top" wrapText="1"/>
    </xf>
    <xf numFmtId="0" fontId="4" fillId="5" borderId="1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showGridLines="0" tabSelected="1" zoomScale="55" zoomScaleNormal="55" workbookViewId="0">
      <pane ySplit="15" topLeftCell="A16" activePane="bottomLeft" state="frozen"/>
      <selection pane="bottomLeft" activeCell="AB29" sqref="AB29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14" customWidth="1"/>
    <col min="4" max="4" width="22" customWidth="1"/>
    <col min="5" max="5" width="44" customWidth="1"/>
    <col min="6" max="6" width="14" customWidth="1"/>
    <col min="7" max="9" width="10" customWidth="1"/>
    <col min="10" max="10" width="28" customWidth="1"/>
    <col min="11" max="15" width="8" customWidth="1"/>
  </cols>
  <sheetData>
    <row r="1" spans="1:15" ht="17.25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3" spans="1:15" x14ac:dyDescent="0.25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x14ac:dyDescent="0.2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spans="1:15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1:1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</row>
    <row r="7" spans="1:15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</row>
    <row r="9" spans="1:15" x14ac:dyDescent="0.25">
      <c r="A9" s="22" t="s">
        <v>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</row>
    <row r="10" spans="1:15" x14ac:dyDescent="0.25">
      <c r="A10" s="33" t="s">
        <v>3</v>
      </c>
      <c r="B10" s="34"/>
      <c r="C10" s="1" t="s">
        <v>4</v>
      </c>
      <c r="J10" s="1" t="s">
        <v>5</v>
      </c>
    </row>
    <row r="11" spans="1:15" x14ac:dyDescent="0.25">
      <c r="A11" s="2" t="s">
        <v>6</v>
      </c>
      <c r="B11" s="2"/>
      <c r="C11" s="2" t="s">
        <v>7</v>
      </c>
      <c r="J11" s="2" t="s">
        <v>8</v>
      </c>
    </row>
    <row r="12" spans="1:15" x14ac:dyDescent="0.25">
      <c r="A12" s="2" t="s">
        <v>9</v>
      </c>
      <c r="B12" s="2"/>
      <c r="C12" s="2" t="s">
        <v>9</v>
      </c>
      <c r="J12" s="2" t="s">
        <v>10</v>
      </c>
    </row>
    <row r="13" spans="1:15" x14ac:dyDescent="0.25">
      <c r="A13" s="2" t="s">
        <v>11</v>
      </c>
      <c r="B13" s="2"/>
      <c r="C13" s="2" t="s">
        <v>12</v>
      </c>
      <c r="J13" s="2" t="s">
        <v>13</v>
      </c>
    </row>
    <row r="14" spans="1:15" x14ac:dyDescent="0.25">
      <c r="A14" s="2" t="s">
        <v>14</v>
      </c>
      <c r="B14" s="2"/>
      <c r="C14" s="2" t="s">
        <v>15</v>
      </c>
    </row>
    <row r="15" spans="1:15" x14ac:dyDescent="0.25">
      <c r="A15" s="2" t="s">
        <v>16</v>
      </c>
      <c r="C15" s="2" t="s">
        <v>17</v>
      </c>
    </row>
    <row r="16" spans="1:15" x14ac:dyDescent="0.25">
      <c r="A16" s="22" t="s">
        <v>18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</row>
    <row r="17" spans="1:15" ht="24" customHeight="1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26</v>
      </c>
      <c r="I17" s="3" t="s">
        <v>27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33</v>
      </c>
    </row>
    <row r="18" spans="1:15" ht="33.950000000000003" customHeight="1" x14ac:dyDescent="0.25">
      <c r="A18" s="4" t="s">
        <v>34</v>
      </c>
      <c r="B18" s="5" t="s">
        <v>6</v>
      </c>
      <c r="C18" s="5" t="s">
        <v>7</v>
      </c>
      <c r="D18" s="4" t="s">
        <v>35</v>
      </c>
      <c r="E18" s="4" t="s">
        <v>36</v>
      </c>
      <c r="F18" s="4" t="s">
        <v>37</v>
      </c>
      <c r="G18" s="4" t="s">
        <v>38</v>
      </c>
      <c r="H18" s="5" t="s">
        <v>39</v>
      </c>
      <c r="I18" s="5" t="s">
        <v>8</v>
      </c>
      <c r="J18" s="4"/>
      <c r="K18" s="6" t="str">
        <f>IF(AND($B18=PRESENTACIÓN!$B$5,$C18="Levantamiento",$I18="Sí"),COUNTIFS($B$18:$B18,PRESENTACIÓN!$B$5,$C$18:$C18,"Levantamiento",$I$18:$I18,"Sí"),"")</f>
        <v/>
      </c>
      <c r="L18" s="6" t="str">
        <f>IF(AND($B18=PRESENTACIÓN!$B$5,$C18="Anteproyecto",$I18="Sí"),COUNTIFS($B$18:$B18,PRESENTACIÓN!$B$5,$C$18:$C18,"Anteproyecto",$I$18:$I18,"Sí"),"")</f>
        <v/>
      </c>
      <c r="M18" s="6" t="str">
        <f>IF(AND($B18=PRESENTACIÓN!$B$5,$C18="Desarrollo",$I18="Sí"),COUNTIFS($B$18:$B18,PRESENTACIÓN!$B$5,$C$18:$C18,"Desarrollo",$I$18:$I18,"Sí"),"")</f>
        <v/>
      </c>
      <c r="N18" s="6" t="str">
        <f>IF(AND($B18=PRESENTACIÓN!$B$5,$C18="Expediente",$I18="Sí"),COUNTIFS($B$18:$B18,PRESENTACIÓN!$B$5,$C$18:$C18,"Expediente",$I$18:$I18,"Sí"),"")</f>
        <v/>
      </c>
      <c r="O18" s="6" t="str">
        <f>IF(AND($B18=PRESENTACIÓN!$B$5,$C18="Obra",$I18="Sí"),COUNTIFS($B$18:$B18,PRESENTACIÓN!$B$5,$C$18:$C18,"Obra",$I$18:$I18,"Sí"),"")</f>
        <v/>
      </c>
    </row>
    <row r="19" spans="1:15" ht="33.950000000000003" customHeight="1" x14ac:dyDescent="0.25">
      <c r="A19" s="4" t="s">
        <v>40</v>
      </c>
      <c r="B19" s="5" t="s">
        <v>11</v>
      </c>
      <c r="C19" s="5" t="s">
        <v>7</v>
      </c>
      <c r="D19" s="4" t="s">
        <v>35</v>
      </c>
      <c r="E19" s="4" t="s">
        <v>36</v>
      </c>
      <c r="F19" s="4" t="s">
        <v>37</v>
      </c>
      <c r="G19" s="4" t="s">
        <v>38</v>
      </c>
      <c r="H19" s="5" t="s">
        <v>39</v>
      </c>
      <c r="I19" s="5" t="s">
        <v>8</v>
      </c>
      <c r="J19" s="4"/>
      <c r="K19" s="6" t="str">
        <f>IF(AND($B19=PRESENTACIÓN!$B$5,$C19="Levantamiento",$I19="Sí"),COUNTIFS($B$18:$B19,PRESENTACIÓN!$B$5,$C$18:$C19,"Levantamiento",$I$18:$I19,"Sí"),"")</f>
        <v/>
      </c>
      <c r="L19" s="6" t="str">
        <f>IF(AND($B19=PRESENTACIÓN!$B$5,$C19="Anteproyecto",$I19="Sí"),COUNTIFS($B$18:$B19,PRESENTACIÓN!$B$5,$C$18:$C19,"Anteproyecto",$I$18:$I19,"Sí"),"")</f>
        <v/>
      </c>
      <c r="M19" s="6" t="str">
        <f>IF(AND($B19=PRESENTACIÓN!$B$5,$C19="Desarrollo",$I19="Sí"),COUNTIFS($B$18:$B19,PRESENTACIÓN!$B$5,$C$18:$C19,"Desarrollo",$I$18:$I19,"Sí"),"")</f>
        <v/>
      </c>
      <c r="N19" s="6" t="str">
        <f>IF(AND($B19=PRESENTACIÓN!$B$5,$C19="Expediente",$I19="Sí"),COUNTIFS($B$18:$B19,PRESENTACIÓN!$B$5,$C$18:$C19,"Expediente",$I$18:$I19,"Sí"),"")</f>
        <v/>
      </c>
      <c r="O19" s="6" t="str">
        <f>IF(AND($B19=PRESENTACIÓN!$B$5,$C19="Obra",$I19="Sí"),COUNTIFS($B$18:$B19,PRESENTACIÓN!$B$5,$C$18:$C19,"Obra",$I$18:$I19,"Sí"),"")</f>
        <v/>
      </c>
    </row>
    <row r="20" spans="1:15" ht="33.950000000000003" customHeight="1" x14ac:dyDescent="0.25">
      <c r="A20" s="4" t="s">
        <v>41</v>
      </c>
      <c r="B20" s="5" t="s">
        <v>9</v>
      </c>
      <c r="C20" s="5" t="s">
        <v>7</v>
      </c>
      <c r="D20" s="4" t="s">
        <v>35</v>
      </c>
      <c r="E20" s="4" t="s">
        <v>36</v>
      </c>
      <c r="F20" s="4" t="s">
        <v>37</v>
      </c>
      <c r="G20" s="4" t="s">
        <v>38</v>
      </c>
      <c r="H20" s="5" t="s">
        <v>39</v>
      </c>
      <c r="I20" s="5" t="s">
        <v>8</v>
      </c>
      <c r="J20" s="4"/>
      <c r="K20" s="6">
        <f>IF(AND($B20=PRESENTACIÓN!$B$5,$C20="Levantamiento",$I20="Sí"),COUNTIFS($B$18:$B20,PRESENTACIÓN!$B$5,$C$18:$C20,"Levantamiento",$I$18:$I20,"Sí"),"")</f>
        <v>1</v>
      </c>
      <c r="L20" s="6" t="str">
        <f>IF(AND($B20=PRESENTACIÓN!$B$5,$C20="Anteproyecto",$I20="Sí"),COUNTIFS($B$18:$B20,PRESENTACIÓN!$B$5,$C$18:$C20,"Anteproyecto",$I$18:$I20,"Sí"),"")</f>
        <v/>
      </c>
      <c r="M20" s="6" t="str">
        <f>IF(AND($B20=PRESENTACIÓN!$B$5,$C20="Desarrollo",$I20="Sí"),COUNTIFS($B$18:$B20,PRESENTACIÓN!$B$5,$C$18:$C20,"Desarrollo",$I$18:$I20,"Sí"),"")</f>
        <v/>
      </c>
      <c r="N20" s="6" t="str">
        <f>IF(AND($B20=PRESENTACIÓN!$B$5,$C20="Expediente",$I20="Sí"),COUNTIFS($B$18:$B20,PRESENTACIÓN!$B$5,$C$18:$C20,"Expediente",$I$18:$I20,"Sí"),"")</f>
        <v/>
      </c>
      <c r="O20" s="6" t="str">
        <f>IF(AND($B20=PRESENTACIÓN!$B$5,$C20="Obra",$I20="Sí"),COUNTIFS($B$18:$B20,PRESENTACIÓN!$B$5,$C$18:$C20,"Obra",$I$18:$I20,"Sí"),"")</f>
        <v/>
      </c>
    </row>
    <row r="21" spans="1:15" ht="33.950000000000003" customHeight="1" x14ac:dyDescent="0.25">
      <c r="A21" s="4" t="s">
        <v>42</v>
      </c>
      <c r="B21" s="5" t="s">
        <v>14</v>
      </c>
      <c r="C21" s="5" t="s">
        <v>7</v>
      </c>
      <c r="D21" s="4" t="s">
        <v>35</v>
      </c>
      <c r="E21" s="4" t="s">
        <v>36</v>
      </c>
      <c r="F21" s="4" t="s">
        <v>37</v>
      </c>
      <c r="G21" s="4" t="s">
        <v>38</v>
      </c>
      <c r="H21" s="5" t="s">
        <v>39</v>
      </c>
      <c r="I21" s="5" t="s">
        <v>8</v>
      </c>
      <c r="J21" s="4"/>
      <c r="K21" s="6" t="str">
        <f>IF(AND($B21=PRESENTACIÓN!$B$5,$C21="Levantamiento",$I21="Sí"),COUNTIFS($B$18:$B21,PRESENTACIÓN!$B$5,$C$18:$C21,"Levantamiento",$I$18:$I21,"Sí"),"")</f>
        <v/>
      </c>
      <c r="L21" s="6" t="str">
        <f>IF(AND($B21=PRESENTACIÓN!$B$5,$C21="Anteproyecto",$I21="Sí"),COUNTIFS($B$18:$B21,PRESENTACIÓN!$B$5,$C$18:$C21,"Anteproyecto",$I$18:$I21,"Sí"),"")</f>
        <v/>
      </c>
      <c r="M21" s="6" t="str">
        <f>IF(AND($B21=PRESENTACIÓN!$B$5,$C21="Desarrollo",$I21="Sí"),COUNTIFS($B$18:$B21,PRESENTACIÓN!$B$5,$C$18:$C21,"Desarrollo",$I$18:$I21,"Sí"),"")</f>
        <v/>
      </c>
      <c r="N21" s="6" t="str">
        <f>IF(AND($B21=PRESENTACIÓN!$B$5,$C21="Expediente",$I21="Sí"),COUNTIFS($B$18:$B21,PRESENTACIÓN!$B$5,$C$18:$C21,"Expediente",$I$18:$I21,"Sí"),"")</f>
        <v/>
      </c>
      <c r="O21" s="6" t="str">
        <f>IF(AND($B21=PRESENTACIÓN!$B$5,$C21="Obra",$I21="Sí"),COUNTIFS($B$18:$B21,PRESENTACIÓN!$B$5,$C$18:$C21,"Obra",$I$18:$I21,"Sí"),"")</f>
        <v/>
      </c>
    </row>
    <row r="22" spans="1:15" ht="33.950000000000003" customHeight="1" x14ac:dyDescent="0.25">
      <c r="A22" s="4" t="s">
        <v>43</v>
      </c>
      <c r="B22" s="5" t="s">
        <v>9</v>
      </c>
      <c r="C22" s="5" t="s">
        <v>9</v>
      </c>
      <c r="D22" s="4" t="s">
        <v>44</v>
      </c>
      <c r="E22" s="4" t="s">
        <v>45</v>
      </c>
      <c r="F22" s="4" t="s">
        <v>37</v>
      </c>
      <c r="G22" s="4" t="s">
        <v>46</v>
      </c>
      <c r="H22" s="5" t="s">
        <v>39</v>
      </c>
      <c r="I22" s="5" t="s">
        <v>8</v>
      </c>
      <c r="J22" s="4" t="s">
        <v>47</v>
      </c>
      <c r="K22" s="6" t="str">
        <f>IF(AND($B22=PRESENTACIÓN!$B$5,$C22="Levantamiento",$I22="Sí"),COUNTIFS($B$18:$B22,PRESENTACIÓN!$B$5,$C$18:$C22,"Levantamiento",$I$18:$I22,"Sí"),"")</f>
        <v/>
      </c>
      <c r="L22" s="6">
        <f>IF(AND($B22=PRESENTACIÓN!$B$5,$C22="Anteproyecto",$I22="Sí"),COUNTIFS($B$18:$B22,PRESENTACIÓN!$B$5,$C$18:$C22,"Anteproyecto",$I$18:$I22,"Sí"),"")</f>
        <v>1</v>
      </c>
      <c r="M22" s="6" t="str">
        <f>IF(AND($B22=PRESENTACIÓN!$B$5,$C22="Desarrollo",$I22="Sí"),COUNTIFS($B$18:$B22,PRESENTACIÓN!$B$5,$C$18:$C22,"Desarrollo",$I$18:$I22,"Sí"),"")</f>
        <v/>
      </c>
      <c r="N22" s="6" t="str">
        <f>IF(AND($B22=PRESENTACIÓN!$B$5,$C22="Expediente",$I22="Sí"),COUNTIFS($B$18:$B22,PRESENTACIÓN!$B$5,$C$18:$C22,"Expediente",$I$18:$I22,"Sí"),"")</f>
        <v/>
      </c>
      <c r="O22" s="6" t="str">
        <f>IF(AND($B22=PRESENTACIÓN!$B$5,$C22="Obra",$I22="Sí"),COUNTIFS($B$18:$B22,PRESENTACIÓN!$B$5,$C$18:$C22,"Obra",$I$18:$I22,"Sí"),"")</f>
        <v/>
      </c>
    </row>
    <row r="23" spans="1:15" ht="33.950000000000003" customHeight="1" x14ac:dyDescent="0.25">
      <c r="A23" s="4" t="s">
        <v>48</v>
      </c>
      <c r="B23" s="5" t="s">
        <v>9</v>
      </c>
      <c r="C23" s="5" t="s">
        <v>9</v>
      </c>
      <c r="D23" s="4" t="s">
        <v>49</v>
      </c>
      <c r="E23" s="4" t="s">
        <v>50</v>
      </c>
      <c r="F23" s="4" t="s">
        <v>37</v>
      </c>
      <c r="G23" s="4" t="s">
        <v>51</v>
      </c>
      <c r="H23" s="5" t="s">
        <v>39</v>
      </c>
      <c r="I23" s="5" t="s">
        <v>8</v>
      </c>
      <c r="J23" s="4" t="s">
        <v>52</v>
      </c>
      <c r="K23" s="6" t="str">
        <f>IF(AND($B23=PRESENTACIÓN!$B$5,$C23="Levantamiento",$I23="Sí"),COUNTIFS($B$18:$B23,PRESENTACIÓN!$B$5,$C$18:$C23,"Levantamiento",$I$18:$I23,"Sí"),"")</f>
        <v/>
      </c>
      <c r="L23" s="6">
        <f>IF(AND($B23=PRESENTACIÓN!$B$5,$C23="Anteproyecto",$I23="Sí"),COUNTIFS($B$18:$B23,PRESENTACIÓN!$B$5,$C$18:$C23,"Anteproyecto",$I$18:$I23,"Sí"),"")</f>
        <v>2</v>
      </c>
      <c r="M23" s="6" t="str">
        <f>IF(AND($B23=PRESENTACIÓN!$B$5,$C23="Desarrollo",$I23="Sí"),COUNTIFS($B$18:$B23,PRESENTACIÓN!$B$5,$C$18:$C23,"Desarrollo",$I$18:$I23,"Sí"),"")</f>
        <v/>
      </c>
      <c r="N23" s="6" t="str">
        <f>IF(AND($B23=PRESENTACIÓN!$B$5,$C23="Expediente",$I23="Sí"),COUNTIFS($B$18:$B23,PRESENTACIÓN!$B$5,$C$18:$C23,"Expediente",$I$18:$I23,"Sí"),"")</f>
        <v/>
      </c>
      <c r="O23" s="6" t="str">
        <f>IF(AND($B23=PRESENTACIÓN!$B$5,$C23="Obra",$I23="Sí"),COUNTIFS($B$18:$B23,PRESENTACIÓN!$B$5,$C$18:$C23,"Obra",$I$18:$I23,"Sí"),"")</f>
        <v/>
      </c>
    </row>
    <row r="24" spans="1:15" ht="33.950000000000003" customHeight="1" x14ac:dyDescent="0.25">
      <c r="A24" s="4" t="s">
        <v>53</v>
      </c>
      <c r="B24" s="5" t="s">
        <v>9</v>
      </c>
      <c r="C24" s="5" t="s">
        <v>9</v>
      </c>
      <c r="D24" s="4" t="s">
        <v>54</v>
      </c>
      <c r="E24" s="4" t="s">
        <v>55</v>
      </c>
      <c r="F24" s="4" t="s">
        <v>37</v>
      </c>
      <c r="G24" s="4" t="s">
        <v>56</v>
      </c>
      <c r="H24" s="5" t="s">
        <v>39</v>
      </c>
      <c r="I24" s="5" t="s">
        <v>8</v>
      </c>
      <c r="J24" s="4"/>
      <c r="K24" s="6" t="str">
        <f>IF(AND($B24=PRESENTACIÓN!$B$5,$C24="Levantamiento",$I24="Sí"),COUNTIFS($B$18:$B24,PRESENTACIÓN!$B$5,$C$18:$C24,"Levantamiento",$I$18:$I24,"Sí"),"")</f>
        <v/>
      </c>
      <c r="L24" s="6">
        <f>IF(AND($B24=PRESENTACIÓN!$B$5,$C24="Anteproyecto",$I24="Sí"),COUNTIFS($B$18:$B24,PRESENTACIÓN!$B$5,$C$18:$C24,"Anteproyecto",$I$18:$I24,"Sí"),"")</f>
        <v>3</v>
      </c>
      <c r="M24" s="6" t="str">
        <f>IF(AND($B24=PRESENTACIÓN!$B$5,$C24="Desarrollo",$I24="Sí"),COUNTIFS($B$18:$B24,PRESENTACIÓN!$B$5,$C$18:$C24,"Desarrollo",$I$18:$I24,"Sí"),"")</f>
        <v/>
      </c>
      <c r="N24" s="6" t="str">
        <f>IF(AND($B24=PRESENTACIÓN!$B$5,$C24="Expediente",$I24="Sí"),COUNTIFS($B$18:$B24,PRESENTACIÓN!$B$5,$C$18:$C24,"Expediente",$I$18:$I24,"Sí"),"")</f>
        <v/>
      </c>
      <c r="O24" s="6" t="str">
        <f>IF(AND($B24=PRESENTACIÓN!$B$5,$C24="Obra",$I24="Sí"),COUNTIFS($B$18:$B24,PRESENTACIÓN!$B$5,$C$18:$C24,"Obra",$I$18:$I24,"Sí"),"")</f>
        <v/>
      </c>
    </row>
    <row r="25" spans="1:15" ht="33.950000000000003" customHeight="1" x14ac:dyDescent="0.25">
      <c r="A25" s="4" t="s">
        <v>57</v>
      </c>
      <c r="B25" s="5" t="s">
        <v>9</v>
      </c>
      <c r="C25" s="5" t="s">
        <v>9</v>
      </c>
      <c r="D25" s="4" t="s">
        <v>58</v>
      </c>
      <c r="E25" s="4" t="s">
        <v>59</v>
      </c>
      <c r="F25" s="4" t="s">
        <v>37</v>
      </c>
      <c r="G25" s="4" t="s">
        <v>51</v>
      </c>
      <c r="H25" s="5" t="s">
        <v>60</v>
      </c>
      <c r="I25" s="5" t="s">
        <v>8</v>
      </c>
      <c r="J25" s="4"/>
      <c r="K25" s="6" t="str">
        <f>IF(AND($B25=PRESENTACIÓN!$B$5,$C25="Levantamiento",$I25="Sí"),COUNTIFS($B$18:$B25,PRESENTACIÓN!$B$5,$C$18:$C25,"Levantamiento",$I$18:$I25,"Sí"),"")</f>
        <v/>
      </c>
      <c r="L25" s="6">
        <f>IF(AND($B25=PRESENTACIÓN!$B$5,$C25="Anteproyecto",$I25="Sí"),COUNTIFS($B$18:$B25,PRESENTACIÓN!$B$5,$C$18:$C25,"Anteproyecto",$I$18:$I25,"Sí"),"")</f>
        <v>4</v>
      </c>
      <c r="M25" s="6" t="str">
        <f>IF(AND($B25=PRESENTACIÓN!$B$5,$C25="Desarrollo",$I25="Sí"),COUNTIFS($B$18:$B25,PRESENTACIÓN!$B$5,$C$18:$C25,"Desarrollo",$I$18:$I25,"Sí"),"")</f>
        <v/>
      </c>
      <c r="N25" s="6" t="str">
        <f>IF(AND($B25=PRESENTACIÓN!$B$5,$C25="Expediente",$I25="Sí"),COUNTIFS($B$18:$B25,PRESENTACIÓN!$B$5,$C$18:$C25,"Expediente",$I$18:$I25,"Sí"),"")</f>
        <v/>
      </c>
      <c r="O25" s="6" t="str">
        <f>IF(AND($B25=PRESENTACIÓN!$B$5,$C25="Obra",$I25="Sí"),COUNTIFS($B$18:$B25,PRESENTACIÓN!$B$5,$C$18:$C25,"Obra",$I$18:$I25,"Sí"),"")</f>
        <v/>
      </c>
    </row>
    <row r="26" spans="1:15" ht="33.950000000000003" customHeight="1" x14ac:dyDescent="0.25">
      <c r="A26" s="4" t="s">
        <v>61</v>
      </c>
      <c r="B26" s="5" t="s">
        <v>9</v>
      </c>
      <c r="C26" s="5" t="s">
        <v>9</v>
      </c>
      <c r="D26" s="4" t="s">
        <v>62</v>
      </c>
      <c r="E26" s="4" t="s">
        <v>63</v>
      </c>
      <c r="F26" s="4" t="s">
        <v>64</v>
      </c>
      <c r="G26" s="4" t="s">
        <v>51</v>
      </c>
      <c r="H26" s="5" t="s">
        <v>65</v>
      </c>
      <c r="I26" s="5" t="s">
        <v>8</v>
      </c>
      <c r="J26" s="4"/>
      <c r="K26" s="6" t="str">
        <f>IF(AND($B26=PRESENTACIÓN!$B$5,$C26="Levantamiento",$I26="Sí"),COUNTIFS($B$18:$B26,PRESENTACIÓN!$B$5,$C$18:$C26,"Levantamiento",$I$18:$I26,"Sí"),"")</f>
        <v/>
      </c>
      <c r="L26" s="6">
        <f>IF(AND($B26=PRESENTACIÓN!$B$5,$C26="Anteproyecto",$I26="Sí"),COUNTIFS($B$18:$B26,PRESENTACIÓN!$B$5,$C$18:$C26,"Anteproyecto",$I$18:$I26,"Sí"),"")</f>
        <v>5</v>
      </c>
      <c r="M26" s="6" t="str">
        <f>IF(AND($B26=PRESENTACIÓN!$B$5,$C26="Desarrollo",$I26="Sí"),COUNTIFS($B$18:$B26,PRESENTACIÓN!$B$5,$C$18:$C26,"Desarrollo",$I$18:$I26,"Sí"),"")</f>
        <v/>
      </c>
      <c r="N26" s="6" t="str">
        <f>IF(AND($B26=PRESENTACIÓN!$B$5,$C26="Expediente",$I26="Sí"),COUNTIFS($B$18:$B26,PRESENTACIÓN!$B$5,$C$18:$C26,"Expediente",$I$18:$I26,"Sí"),"")</f>
        <v/>
      </c>
      <c r="O26" s="6" t="str">
        <f>IF(AND($B26=PRESENTACIÓN!$B$5,$C26="Obra",$I26="Sí"),COUNTIFS($B$18:$B26,PRESENTACIÓN!$B$5,$C$18:$C26,"Obra",$I$18:$I26,"Sí"),"")</f>
        <v/>
      </c>
    </row>
    <row r="27" spans="1:15" ht="33.950000000000003" customHeight="1" x14ac:dyDescent="0.25">
      <c r="A27" s="4" t="s">
        <v>66</v>
      </c>
      <c r="B27" s="5" t="s">
        <v>11</v>
      </c>
      <c r="C27" s="5" t="s">
        <v>12</v>
      </c>
      <c r="D27" s="4" t="s">
        <v>67</v>
      </c>
      <c r="E27" s="4" t="s">
        <v>68</v>
      </c>
      <c r="F27" s="4" t="s">
        <v>37</v>
      </c>
      <c r="G27" s="4" t="s">
        <v>69</v>
      </c>
      <c r="H27" s="5" t="s">
        <v>60</v>
      </c>
      <c r="I27" s="5" t="s">
        <v>8</v>
      </c>
      <c r="J27" s="4"/>
      <c r="K27" s="6" t="str">
        <f>IF(AND($B27=PRESENTACIÓN!$B$5,$C27="Levantamiento",$I27="Sí"),COUNTIFS($B$18:$B27,PRESENTACIÓN!$B$5,$C$18:$C27,"Levantamiento",$I$18:$I27,"Sí"),"")</f>
        <v/>
      </c>
      <c r="L27" s="6" t="str">
        <f>IF(AND($B27=PRESENTACIÓN!$B$5,$C27="Anteproyecto",$I27="Sí"),COUNTIFS($B$18:$B27,PRESENTACIÓN!$B$5,$C$18:$C27,"Anteproyecto",$I$18:$I27,"Sí"),"")</f>
        <v/>
      </c>
      <c r="M27" s="6" t="str">
        <f>IF(AND($B27=PRESENTACIÓN!$B$5,$C27="Desarrollo",$I27="Sí"),COUNTIFS($B$18:$B27,PRESENTACIÓN!$B$5,$C$18:$C27,"Desarrollo",$I$18:$I27,"Sí"),"")</f>
        <v/>
      </c>
      <c r="N27" s="6" t="str">
        <f>IF(AND($B27=PRESENTACIÓN!$B$5,$C27="Expediente",$I27="Sí"),COUNTIFS($B$18:$B27,PRESENTACIÓN!$B$5,$C$18:$C27,"Expediente",$I$18:$I27,"Sí"),"")</f>
        <v/>
      </c>
      <c r="O27" s="6" t="str">
        <f>IF(AND($B27=PRESENTACIÓN!$B$5,$C27="Obra",$I27="Sí"),COUNTIFS($B$18:$B27,PRESENTACIÓN!$B$5,$C$18:$C27,"Obra",$I$18:$I27,"Sí"),"")</f>
        <v/>
      </c>
    </row>
    <row r="28" spans="1:15" ht="33.950000000000003" customHeight="1" x14ac:dyDescent="0.25">
      <c r="A28" s="4" t="s">
        <v>70</v>
      </c>
      <c r="B28" s="5" t="s">
        <v>11</v>
      </c>
      <c r="C28" s="5" t="s">
        <v>12</v>
      </c>
      <c r="D28" s="4" t="s">
        <v>71</v>
      </c>
      <c r="E28" s="4" t="s">
        <v>72</v>
      </c>
      <c r="F28" s="4" t="s">
        <v>37</v>
      </c>
      <c r="G28" s="4" t="s">
        <v>69</v>
      </c>
      <c r="H28" s="5" t="s">
        <v>73</v>
      </c>
      <c r="I28" s="5" t="s">
        <v>8</v>
      </c>
      <c r="J28" s="4"/>
      <c r="K28" s="6" t="str">
        <f>IF(AND($B28=PRESENTACIÓN!$B$5,$C28="Levantamiento",$I28="Sí"),COUNTIFS($B$18:$B28,PRESENTACIÓN!$B$5,$C$18:$C28,"Levantamiento",$I$18:$I28,"Sí"),"")</f>
        <v/>
      </c>
      <c r="L28" s="6" t="str">
        <f>IF(AND($B28=PRESENTACIÓN!$B$5,$C28="Anteproyecto",$I28="Sí"),COUNTIFS($B$18:$B28,PRESENTACIÓN!$B$5,$C$18:$C28,"Anteproyecto",$I$18:$I28,"Sí"),"")</f>
        <v/>
      </c>
      <c r="M28" s="6" t="str">
        <f>IF(AND($B28=PRESENTACIÓN!$B$5,$C28="Desarrollo",$I28="Sí"),COUNTIFS($B$18:$B28,PRESENTACIÓN!$B$5,$C$18:$C28,"Desarrollo",$I$18:$I28,"Sí"),"")</f>
        <v/>
      </c>
      <c r="N28" s="6" t="str">
        <f>IF(AND($B28=PRESENTACIÓN!$B$5,$C28="Expediente",$I28="Sí"),COUNTIFS($B$18:$B28,PRESENTACIÓN!$B$5,$C$18:$C28,"Expediente",$I$18:$I28,"Sí"),"")</f>
        <v/>
      </c>
      <c r="O28" s="6" t="str">
        <f>IF(AND($B28=PRESENTACIÓN!$B$5,$C28="Obra",$I28="Sí"),COUNTIFS($B$18:$B28,PRESENTACIÓN!$B$5,$C$18:$C28,"Obra",$I$18:$I28,"Sí"),"")</f>
        <v/>
      </c>
    </row>
    <row r="29" spans="1:15" ht="33.950000000000003" customHeight="1" x14ac:dyDescent="0.25">
      <c r="A29" s="4" t="s">
        <v>74</v>
      </c>
      <c r="B29" s="5" t="s">
        <v>9</v>
      </c>
      <c r="C29" s="5" t="s">
        <v>12</v>
      </c>
      <c r="D29" s="4" t="s">
        <v>75</v>
      </c>
      <c r="E29" s="4" t="s">
        <v>76</v>
      </c>
      <c r="F29" s="4" t="s">
        <v>37</v>
      </c>
      <c r="G29" s="4" t="s">
        <v>56</v>
      </c>
      <c r="H29" s="5" t="s">
        <v>39</v>
      </c>
      <c r="I29" s="5" t="s">
        <v>8</v>
      </c>
      <c r="J29" s="4"/>
      <c r="K29" s="6" t="str">
        <f>IF(AND($B29=PRESENTACIÓN!$B$5,$C29="Levantamiento",$I29="Sí"),COUNTIFS($B$18:$B29,PRESENTACIÓN!$B$5,$C$18:$C29,"Levantamiento",$I$18:$I29,"Sí"),"")</f>
        <v/>
      </c>
      <c r="L29" s="6" t="str">
        <f>IF(AND($B29=PRESENTACIÓN!$B$5,$C29="Anteproyecto",$I29="Sí"),COUNTIFS($B$18:$B29,PRESENTACIÓN!$B$5,$C$18:$C29,"Anteproyecto",$I$18:$I29,"Sí"),"")</f>
        <v/>
      </c>
      <c r="M29" s="6">
        <f>IF(AND($B29=PRESENTACIÓN!$B$5,$C29="Desarrollo",$I29="Sí"),COUNTIFS($B$18:$B29,PRESENTACIÓN!$B$5,$C$18:$C29,"Desarrollo",$I$18:$I29,"Sí"),"")</f>
        <v>1</v>
      </c>
      <c r="N29" s="6" t="str">
        <f>IF(AND($B29=PRESENTACIÓN!$B$5,$C29="Expediente",$I29="Sí"),COUNTIFS($B$18:$B29,PRESENTACIÓN!$B$5,$C$18:$C29,"Expediente",$I$18:$I29,"Sí"),"")</f>
        <v/>
      </c>
      <c r="O29" s="6" t="str">
        <f>IF(AND($B29=PRESENTACIÓN!$B$5,$C29="Obra",$I29="Sí"),COUNTIFS($B$18:$B29,PRESENTACIÓN!$B$5,$C$18:$C29,"Obra",$I$18:$I29,"Sí"),"")</f>
        <v/>
      </c>
    </row>
    <row r="30" spans="1:15" ht="33.950000000000003" customHeight="1" x14ac:dyDescent="0.25">
      <c r="A30" s="4" t="s">
        <v>77</v>
      </c>
      <c r="B30" s="5" t="s">
        <v>9</v>
      </c>
      <c r="C30" s="5" t="s">
        <v>12</v>
      </c>
      <c r="D30" s="4" t="s">
        <v>78</v>
      </c>
      <c r="E30" s="4" t="s">
        <v>79</v>
      </c>
      <c r="F30" s="4" t="s">
        <v>37</v>
      </c>
      <c r="G30" s="4" t="s">
        <v>80</v>
      </c>
      <c r="H30" s="5" t="s">
        <v>39</v>
      </c>
      <c r="I30" s="5" t="s">
        <v>8</v>
      </c>
      <c r="J30" s="4"/>
      <c r="K30" s="6" t="str">
        <f>IF(AND($B30=PRESENTACIÓN!$B$5,$C30="Levantamiento",$I30="Sí"),COUNTIFS($B$18:$B30,PRESENTACIÓN!$B$5,$C$18:$C30,"Levantamiento",$I$18:$I30,"Sí"),"")</f>
        <v/>
      </c>
      <c r="L30" s="6" t="str">
        <f>IF(AND($B30=PRESENTACIÓN!$B$5,$C30="Anteproyecto",$I30="Sí"),COUNTIFS($B$18:$B30,PRESENTACIÓN!$B$5,$C$18:$C30,"Anteproyecto",$I$18:$I30,"Sí"),"")</f>
        <v/>
      </c>
      <c r="M30" s="6">
        <f>IF(AND($B30=PRESENTACIÓN!$B$5,$C30="Desarrollo",$I30="Sí"),COUNTIFS($B$18:$B30,PRESENTACIÓN!$B$5,$C$18:$C30,"Desarrollo",$I$18:$I30,"Sí"),"")</f>
        <v>2</v>
      </c>
      <c r="N30" s="6" t="str">
        <f>IF(AND($B30=PRESENTACIÓN!$B$5,$C30="Expediente",$I30="Sí"),COUNTIFS($B$18:$B30,PRESENTACIÓN!$B$5,$C$18:$C30,"Expediente",$I$18:$I30,"Sí"),"")</f>
        <v/>
      </c>
      <c r="O30" s="6" t="str">
        <f>IF(AND($B30=PRESENTACIÓN!$B$5,$C30="Obra",$I30="Sí"),COUNTIFS($B$18:$B30,PRESENTACIÓN!$B$5,$C$18:$C30,"Obra",$I$18:$I30,"Sí"),"")</f>
        <v/>
      </c>
    </row>
    <row r="31" spans="1:15" ht="33.950000000000003" customHeight="1" x14ac:dyDescent="0.25">
      <c r="A31" s="4" t="s">
        <v>81</v>
      </c>
      <c r="B31" s="5" t="s">
        <v>14</v>
      </c>
      <c r="C31" s="5" t="s">
        <v>15</v>
      </c>
      <c r="D31" s="4" t="s">
        <v>82</v>
      </c>
      <c r="E31" s="4" t="s">
        <v>83</v>
      </c>
      <c r="F31" s="4" t="s">
        <v>37</v>
      </c>
      <c r="G31" s="4" t="s">
        <v>84</v>
      </c>
      <c r="H31" s="5" t="s">
        <v>85</v>
      </c>
      <c r="I31" s="5" t="s">
        <v>8</v>
      </c>
      <c r="J31" s="4"/>
      <c r="K31" s="6" t="str">
        <f>IF(AND($B31=PRESENTACIÓN!$B$5,$C31="Levantamiento",$I31="Sí"),COUNTIFS($B$18:$B31,PRESENTACIÓN!$B$5,$C$18:$C31,"Levantamiento",$I$18:$I31,"Sí"),"")</f>
        <v/>
      </c>
      <c r="L31" s="6" t="str">
        <f>IF(AND($B31=PRESENTACIÓN!$B$5,$C31="Anteproyecto",$I31="Sí"),COUNTIFS($B$18:$B31,PRESENTACIÓN!$B$5,$C$18:$C31,"Anteproyecto",$I$18:$I31,"Sí"),"")</f>
        <v/>
      </c>
      <c r="M31" s="6" t="str">
        <f>IF(AND($B31=PRESENTACIÓN!$B$5,$C31="Desarrollo",$I31="Sí"),COUNTIFS($B$18:$B31,PRESENTACIÓN!$B$5,$C$18:$C31,"Desarrollo",$I$18:$I31,"Sí"),"")</f>
        <v/>
      </c>
      <c r="N31" s="6" t="str">
        <f>IF(AND($B31=PRESENTACIÓN!$B$5,$C31="Expediente",$I31="Sí"),COUNTIFS($B$18:$B31,PRESENTACIÓN!$B$5,$C$18:$C31,"Expediente",$I$18:$I31,"Sí"),"")</f>
        <v/>
      </c>
      <c r="O31" s="6" t="str">
        <f>IF(AND($B31=PRESENTACIÓN!$B$5,$C31="Obra",$I31="Sí"),COUNTIFS($B$18:$B31,PRESENTACIÓN!$B$5,$C$18:$C31,"Obra",$I$18:$I31,"Sí"),"")</f>
        <v/>
      </c>
    </row>
    <row r="32" spans="1:15" ht="33.950000000000003" customHeight="1" x14ac:dyDescent="0.25">
      <c r="A32" s="4" t="s">
        <v>86</v>
      </c>
      <c r="B32" s="5" t="s">
        <v>9</v>
      </c>
      <c r="C32" s="5" t="s">
        <v>15</v>
      </c>
      <c r="D32" s="4" t="s">
        <v>87</v>
      </c>
      <c r="E32" s="4" t="s">
        <v>88</v>
      </c>
      <c r="F32" s="4" t="s">
        <v>37</v>
      </c>
      <c r="G32" s="4" t="s">
        <v>89</v>
      </c>
      <c r="H32" s="5" t="s">
        <v>39</v>
      </c>
      <c r="I32" s="5" t="s">
        <v>8</v>
      </c>
      <c r="J32" s="4"/>
      <c r="K32" s="6" t="str">
        <f>IF(AND($B32=PRESENTACIÓN!$B$5,$C32="Levantamiento",$I32="Sí"),COUNTIFS($B$18:$B32,PRESENTACIÓN!$B$5,$C$18:$C32,"Levantamiento",$I$18:$I32,"Sí"),"")</f>
        <v/>
      </c>
      <c r="L32" s="6" t="str">
        <f>IF(AND($B32=PRESENTACIÓN!$B$5,$C32="Anteproyecto",$I32="Sí"),COUNTIFS($B$18:$B32,PRESENTACIÓN!$B$5,$C$18:$C32,"Anteproyecto",$I$18:$I32,"Sí"),"")</f>
        <v/>
      </c>
      <c r="M32" s="6" t="str">
        <f>IF(AND($B32=PRESENTACIÓN!$B$5,$C32="Desarrollo",$I32="Sí"),COUNTIFS($B$18:$B32,PRESENTACIÓN!$B$5,$C$18:$C32,"Desarrollo",$I$18:$I32,"Sí"),"")</f>
        <v/>
      </c>
      <c r="N32" s="6">
        <f>IF(AND($B32=PRESENTACIÓN!$B$5,$C32="Expediente",$I32="Sí"),COUNTIFS($B$18:$B32,PRESENTACIÓN!$B$5,$C$18:$C32,"Expediente",$I$18:$I32,"Sí"),"")</f>
        <v>1</v>
      </c>
      <c r="O32" s="6" t="str">
        <f>IF(AND($B32=PRESENTACIÓN!$B$5,$C32="Obra",$I32="Sí"),COUNTIFS($B$18:$B32,PRESENTACIÓN!$B$5,$C$18:$C32,"Obra",$I$18:$I32,"Sí"),"")</f>
        <v/>
      </c>
    </row>
    <row r="33" spans="1:15" ht="33.950000000000003" customHeight="1" x14ac:dyDescent="0.25">
      <c r="A33" s="4" t="s">
        <v>90</v>
      </c>
      <c r="B33" s="5" t="s">
        <v>14</v>
      </c>
      <c r="C33" s="5" t="s">
        <v>15</v>
      </c>
      <c r="D33" s="4" t="s">
        <v>91</v>
      </c>
      <c r="E33" s="4" t="s">
        <v>92</v>
      </c>
      <c r="F33" s="4" t="s">
        <v>37</v>
      </c>
      <c r="G33" s="4" t="s">
        <v>80</v>
      </c>
      <c r="H33" s="5" t="s">
        <v>39</v>
      </c>
      <c r="I33" s="5" t="s">
        <v>8</v>
      </c>
      <c r="J33" s="4" t="s">
        <v>93</v>
      </c>
      <c r="K33" s="6" t="str">
        <f>IF(AND($B33=PRESENTACIÓN!$B$5,$C33="Levantamiento",$I33="Sí"),COUNTIFS($B$18:$B33,PRESENTACIÓN!$B$5,$C$18:$C33,"Levantamiento",$I$18:$I33,"Sí"),"")</f>
        <v/>
      </c>
      <c r="L33" s="6" t="str">
        <f>IF(AND($B33=PRESENTACIÓN!$B$5,$C33="Anteproyecto",$I33="Sí"),COUNTIFS($B$18:$B33,PRESENTACIÓN!$B$5,$C$18:$C33,"Anteproyecto",$I$18:$I33,"Sí"),"")</f>
        <v/>
      </c>
      <c r="M33" s="6" t="str">
        <f>IF(AND($B33=PRESENTACIÓN!$B$5,$C33="Desarrollo",$I33="Sí"),COUNTIFS($B$18:$B33,PRESENTACIÓN!$B$5,$C$18:$C33,"Desarrollo",$I$18:$I33,"Sí"),"")</f>
        <v/>
      </c>
      <c r="N33" s="6" t="str">
        <f>IF(AND($B33=PRESENTACIÓN!$B$5,$C33="Expediente",$I33="Sí"),COUNTIFS($B$18:$B33,PRESENTACIÓN!$B$5,$C$18:$C33,"Expediente",$I$18:$I33,"Sí"),"")</f>
        <v/>
      </c>
      <c r="O33" s="6" t="str">
        <f>IF(AND($B33=PRESENTACIÓN!$B$5,$C33="Obra",$I33="Sí"),COUNTIFS($B$18:$B33,PRESENTACIÓN!$B$5,$C$18:$C33,"Obra",$I$18:$I33,"Sí"),"")</f>
        <v/>
      </c>
    </row>
    <row r="34" spans="1:15" ht="33.950000000000003" customHeight="1" x14ac:dyDescent="0.25">
      <c r="A34" s="4" t="s">
        <v>94</v>
      </c>
      <c r="B34" s="5" t="s">
        <v>16</v>
      </c>
      <c r="C34" s="5" t="s">
        <v>17</v>
      </c>
      <c r="D34" s="4" t="s">
        <v>95</v>
      </c>
      <c r="E34" s="4" t="s">
        <v>96</v>
      </c>
      <c r="F34" s="4" t="s">
        <v>37</v>
      </c>
      <c r="G34" s="4" t="s">
        <v>80</v>
      </c>
      <c r="H34" s="5" t="s">
        <v>97</v>
      </c>
      <c r="I34" s="5" t="s">
        <v>8</v>
      </c>
      <c r="J34" s="4"/>
      <c r="K34" s="6" t="str">
        <f>IF(AND($B34=PRESENTACIÓN!$B$5,$C34="Levantamiento",$I34="Sí"),COUNTIFS($B$18:$B34,PRESENTACIÓN!$B$5,$C$18:$C34,"Levantamiento",$I$18:$I34,"Sí"),"")</f>
        <v/>
      </c>
      <c r="L34" s="6" t="str">
        <f>IF(AND($B34=PRESENTACIÓN!$B$5,$C34="Anteproyecto",$I34="Sí"),COUNTIFS($B$18:$B34,PRESENTACIÓN!$B$5,$C$18:$C34,"Anteproyecto",$I$18:$I34,"Sí"),"")</f>
        <v/>
      </c>
      <c r="M34" s="6" t="str">
        <f>IF(AND($B34=PRESENTACIÓN!$B$5,$C34="Desarrollo",$I34="Sí"),COUNTIFS($B$18:$B34,PRESENTACIÓN!$B$5,$C$18:$C34,"Desarrollo",$I$18:$I34,"Sí"),"")</f>
        <v/>
      </c>
      <c r="N34" s="6" t="str">
        <f>IF(AND($B34=PRESENTACIÓN!$B$5,$C34="Expediente",$I34="Sí"),COUNTIFS($B$18:$B34,PRESENTACIÓN!$B$5,$C$18:$C34,"Expediente",$I$18:$I34,"Sí"),"")</f>
        <v/>
      </c>
      <c r="O34" s="6" t="str">
        <f>IF(AND($B34=PRESENTACIÓN!$B$5,$C34="Obra",$I34="Sí"),COUNTIFS($B$18:$B34,PRESENTACIÓN!$B$5,$C$18:$C34,"Obra",$I$18:$I34,"Sí"),"")</f>
        <v/>
      </c>
    </row>
    <row r="35" spans="1:15" ht="33.950000000000003" customHeight="1" x14ac:dyDescent="0.25">
      <c r="A35" s="4" t="s">
        <v>98</v>
      </c>
      <c r="B35" s="5" t="s">
        <v>9</v>
      </c>
      <c r="C35" s="5" t="s">
        <v>17</v>
      </c>
      <c r="D35" s="4" t="s">
        <v>99</v>
      </c>
      <c r="E35" s="4" t="s">
        <v>100</v>
      </c>
      <c r="F35" s="4" t="s">
        <v>101</v>
      </c>
      <c r="G35" s="4" t="s">
        <v>102</v>
      </c>
      <c r="H35" s="5" t="s">
        <v>103</v>
      </c>
      <c r="I35" s="5" t="s">
        <v>8</v>
      </c>
      <c r="J35" s="4"/>
      <c r="K35" s="6" t="str">
        <f>IF(AND($B35=PRESENTACIÓN!$B$5,$C35="Levantamiento",$I35="Sí"),COUNTIFS($B$18:$B35,PRESENTACIÓN!$B$5,$C$18:$C35,"Levantamiento",$I$18:$I35,"Sí"),"")</f>
        <v/>
      </c>
      <c r="L35" s="6" t="str">
        <f>IF(AND($B35=PRESENTACIÓN!$B$5,$C35="Anteproyecto",$I35="Sí"),COUNTIFS($B$18:$B35,PRESENTACIÓN!$B$5,$C$18:$C35,"Anteproyecto",$I$18:$I35,"Sí"),"")</f>
        <v/>
      </c>
      <c r="M35" s="6" t="str">
        <f>IF(AND($B35=PRESENTACIÓN!$B$5,$C35="Desarrollo",$I35="Sí"),COUNTIFS($B$18:$B35,PRESENTACIÓN!$B$5,$C$18:$C35,"Desarrollo",$I$18:$I35,"Sí"),"")</f>
        <v/>
      </c>
      <c r="N35" s="6" t="str">
        <f>IF(AND($B35=PRESENTACIÓN!$B$5,$C35="Expediente",$I35="Sí"),COUNTIFS($B$18:$B35,PRESENTACIÓN!$B$5,$C$18:$C35,"Expediente",$I$18:$I35,"Sí"),"")</f>
        <v/>
      </c>
      <c r="O35" s="6">
        <f>IF(AND($B35=PRESENTACIÓN!$B$5,$C35="Obra",$I35="Sí"),COUNTIFS($B$18:$B35,PRESENTACIÓN!$B$5,$C$18:$C35,"Obra",$I$18:$I35,"Sí"),"")</f>
        <v>1</v>
      </c>
    </row>
    <row r="36" spans="1:15" ht="33.950000000000003" customHeight="1" x14ac:dyDescent="0.25">
      <c r="A36" s="4" t="s">
        <v>104</v>
      </c>
      <c r="B36" s="5" t="s">
        <v>9</v>
      </c>
      <c r="C36" s="5" t="s">
        <v>17</v>
      </c>
      <c r="D36" s="4" t="s">
        <v>105</v>
      </c>
      <c r="E36" s="4" t="s">
        <v>106</v>
      </c>
      <c r="F36" s="4" t="s">
        <v>37</v>
      </c>
      <c r="G36" s="4" t="s">
        <v>80</v>
      </c>
      <c r="H36" s="5" t="s">
        <v>39</v>
      </c>
      <c r="I36" s="5" t="s">
        <v>8</v>
      </c>
      <c r="J36" s="4"/>
      <c r="K36" s="6" t="str">
        <f>IF(AND($B36=PRESENTACIÓN!$B$5,$C36="Levantamiento",$I36="Sí"),COUNTIFS($B$18:$B36,PRESENTACIÓN!$B$5,$C$18:$C36,"Levantamiento",$I$18:$I36,"Sí"),"")</f>
        <v/>
      </c>
      <c r="L36" s="6" t="str">
        <f>IF(AND($B36=PRESENTACIÓN!$B$5,$C36="Anteproyecto",$I36="Sí"),COUNTIFS($B$18:$B36,PRESENTACIÓN!$B$5,$C$18:$C36,"Anteproyecto",$I$18:$I36,"Sí"),"")</f>
        <v/>
      </c>
      <c r="M36" s="6" t="str">
        <f>IF(AND($B36=PRESENTACIÓN!$B$5,$C36="Desarrollo",$I36="Sí"),COUNTIFS($B$18:$B36,PRESENTACIÓN!$B$5,$C$18:$C36,"Desarrollo",$I$18:$I36,"Sí"),"")</f>
        <v/>
      </c>
      <c r="N36" s="6" t="str">
        <f>IF(AND($B36=PRESENTACIÓN!$B$5,$C36="Expediente",$I36="Sí"),COUNTIFS($B$18:$B36,PRESENTACIÓN!$B$5,$C$18:$C36,"Expediente",$I$18:$I36,"Sí"),"")</f>
        <v/>
      </c>
      <c r="O36" s="6">
        <f>IF(AND($B36=PRESENTACIÓN!$B$5,$C36="Obra",$I36="Sí"),COUNTIFS($B$18:$B36,PRESENTACIÓN!$B$5,$C$18:$C36,"Obra",$I$18:$I36,"Sí"),"")</f>
        <v>2</v>
      </c>
    </row>
    <row r="37" spans="1:15" ht="33.950000000000003" customHeight="1" x14ac:dyDescent="0.25">
      <c r="A37" s="4" t="s">
        <v>107</v>
      </c>
      <c r="B37" s="5" t="s">
        <v>108</v>
      </c>
      <c r="C37" s="5" t="s">
        <v>17</v>
      </c>
      <c r="D37" s="4" t="s">
        <v>109</v>
      </c>
      <c r="E37" s="4" t="s">
        <v>110</v>
      </c>
      <c r="F37" s="4" t="s">
        <v>37</v>
      </c>
      <c r="G37" s="4" t="s">
        <v>80</v>
      </c>
      <c r="H37" s="5" t="s">
        <v>39</v>
      </c>
      <c r="I37" s="5" t="s">
        <v>8</v>
      </c>
      <c r="J37" s="4"/>
      <c r="K37" s="6" t="str">
        <f>IF(AND($B37=PRESENTACIÓN!$B$5,$C37="Levantamiento",$I37="Sí"),COUNTIFS($B$18:$B37,PRESENTACIÓN!$B$5,$C$18:$C37,"Levantamiento",$I$18:$I37,"Sí"),"")</f>
        <v/>
      </c>
      <c r="L37" s="6" t="str">
        <f>IF(AND($B37=PRESENTACIÓN!$B$5,$C37="Anteproyecto",$I37="Sí"),COUNTIFS($B$18:$B37,PRESENTACIÓN!$B$5,$C$18:$C37,"Anteproyecto",$I$18:$I37,"Sí"),"")</f>
        <v/>
      </c>
      <c r="M37" s="6" t="str">
        <f>IF(AND($B37=PRESENTACIÓN!$B$5,$C37="Desarrollo",$I37="Sí"),COUNTIFS($B$18:$B37,PRESENTACIÓN!$B$5,$C$18:$C37,"Desarrollo",$I$18:$I37,"Sí"),"")</f>
        <v/>
      </c>
      <c r="N37" s="6" t="str">
        <f>IF(AND($B37=PRESENTACIÓN!$B$5,$C37="Expediente",$I37="Sí"),COUNTIFS($B$18:$B37,PRESENTACIÓN!$B$5,$C$18:$C37,"Expediente",$I$18:$I37,"Sí"),"")</f>
        <v/>
      </c>
      <c r="O37" s="6" t="str">
        <f>IF(AND($B37=PRESENTACIÓN!$B$5,$C37="Obra",$I37="Sí"),COUNTIFS($B$18:$B37,PRESENTACIÓN!$B$5,$C$18:$C37,"Obra",$I$18:$I37,"Sí"),"")</f>
        <v/>
      </c>
    </row>
    <row r="38" spans="1:15" ht="33.950000000000003" customHeight="1" x14ac:dyDescent="0.25">
      <c r="A38" s="4" t="s">
        <v>111</v>
      </c>
      <c r="B38" s="5" t="s">
        <v>108</v>
      </c>
      <c r="C38" s="5" t="s">
        <v>17</v>
      </c>
      <c r="D38" s="4" t="s">
        <v>112</v>
      </c>
      <c r="E38" s="4" t="s">
        <v>113</v>
      </c>
      <c r="F38" s="4" t="s">
        <v>37</v>
      </c>
      <c r="G38" s="4" t="s">
        <v>114</v>
      </c>
      <c r="H38" s="5" t="s">
        <v>39</v>
      </c>
      <c r="I38" s="5" t="s">
        <v>8</v>
      </c>
      <c r="J38" s="4"/>
      <c r="K38" s="6" t="str">
        <f>IF(AND($B38=PRESENTACIÓN!$B$5,$C38="Levantamiento",$I38="Sí"),COUNTIFS($B$18:$B38,PRESENTACIÓN!$B$5,$C$18:$C38,"Levantamiento",$I$18:$I38,"Sí"),"")</f>
        <v/>
      </c>
      <c r="L38" s="6" t="str">
        <f>IF(AND($B38=PRESENTACIÓN!$B$5,$C38="Anteproyecto",$I38="Sí"),COUNTIFS($B$18:$B38,PRESENTACIÓN!$B$5,$C$18:$C38,"Anteproyecto",$I$18:$I38,"Sí"),"")</f>
        <v/>
      </c>
      <c r="M38" s="6" t="str">
        <f>IF(AND($B38=PRESENTACIÓN!$B$5,$C38="Desarrollo",$I38="Sí"),COUNTIFS($B$18:$B38,PRESENTACIÓN!$B$5,$C$18:$C38,"Desarrollo",$I$18:$I38,"Sí"),"")</f>
        <v/>
      </c>
      <c r="N38" s="6" t="str">
        <f>IF(AND($B38=PRESENTACIÓN!$B$5,$C38="Expediente",$I38="Sí"),COUNTIFS($B$18:$B38,PRESENTACIÓN!$B$5,$C$18:$C38,"Expediente",$I$18:$I38,"Sí"),"")</f>
        <v/>
      </c>
      <c r="O38" s="6" t="str">
        <f>IF(AND($B38=PRESENTACIÓN!$B$5,$C38="Obra",$I38="Sí"),COUNTIFS($B$18:$B38,PRESENTACIÓN!$B$5,$C$18:$C38,"Obra",$I$18:$I38,"Sí"),"")</f>
        <v/>
      </c>
    </row>
  </sheetData>
  <mergeCells count="5">
    <mergeCell ref="A3:O7"/>
    <mergeCell ref="A1:O1"/>
    <mergeCell ref="A9:O9"/>
    <mergeCell ref="A16:O16"/>
    <mergeCell ref="A10:B10"/>
  </mergeCells>
  <dataValidations count="3">
    <dataValidation type="list" sqref="B5 B18:B38" xr:uid="{00000000-0002-0000-0000-000000000000}">
      <formula1>$A$11:$A$16</formula1>
    </dataValidation>
    <dataValidation type="list" sqref="C18:C38" xr:uid="{00000000-0002-0000-0000-000001000000}">
      <formula1>$C$11:$C$15</formula1>
    </dataValidation>
    <dataValidation type="list" sqref="I18:I38" xr:uid="{00000000-0002-0000-0000-000002000000}">
      <formula1>$J$11:$J$13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showGridLines="0" zoomScale="70" zoomScaleNormal="70" workbookViewId="0">
      <selection activeCell="M47" sqref="M47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16" customWidth="1"/>
    <col min="4" max="4" width="4.5703125" customWidth="1"/>
    <col min="5" max="5" width="10.7109375" customWidth="1"/>
    <col min="6" max="6" width="5.140625" customWidth="1"/>
    <col min="7" max="7" width="14" customWidth="1"/>
    <col min="8" max="8" width="5.7109375" customWidth="1"/>
  </cols>
  <sheetData>
    <row r="1" spans="1:8" ht="18.75" x14ac:dyDescent="0.25">
      <c r="A1" s="27" t="s">
        <v>115</v>
      </c>
      <c r="B1" s="20"/>
      <c r="C1" s="20"/>
      <c r="D1" s="20"/>
      <c r="E1" s="20"/>
      <c r="F1" s="20"/>
      <c r="G1" s="20"/>
      <c r="H1" s="21"/>
    </row>
    <row r="3" spans="1:8" x14ac:dyDescent="0.25">
      <c r="A3" s="7" t="s">
        <v>116</v>
      </c>
      <c r="B3" s="30"/>
      <c r="C3" s="20"/>
      <c r="D3" s="21"/>
      <c r="E3" s="7" t="s">
        <v>117</v>
      </c>
      <c r="F3" s="30"/>
      <c r="G3" s="20"/>
      <c r="H3" s="21"/>
    </row>
    <row r="4" spans="1:8" x14ac:dyDescent="0.25">
      <c r="A4" s="7" t="s">
        <v>118</v>
      </c>
      <c r="B4" s="30"/>
      <c r="C4" s="20"/>
      <c r="D4" s="21"/>
      <c r="E4" s="7" t="s">
        <v>119</v>
      </c>
      <c r="F4" s="31">
        <f ca="1">TODAY()</f>
        <v>46093</v>
      </c>
      <c r="G4" s="20"/>
      <c r="H4" s="21"/>
    </row>
    <row r="5" spans="1:8" x14ac:dyDescent="0.25">
      <c r="A5" s="8" t="s">
        <v>20</v>
      </c>
      <c r="B5" s="30" t="s">
        <v>9</v>
      </c>
      <c r="C5" s="20"/>
      <c r="D5" s="21"/>
    </row>
    <row r="7" spans="1:8" x14ac:dyDescent="0.25">
      <c r="A7" s="32" t="s">
        <v>120</v>
      </c>
      <c r="B7" s="11"/>
      <c r="C7" s="11"/>
      <c r="D7" s="11"/>
      <c r="E7" s="11"/>
      <c r="F7" s="11"/>
      <c r="G7" s="11"/>
      <c r="H7" s="12"/>
    </row>
    <row r="8" spans="1:8" x14ac:dyDescent="0.25">
      <c r="A8" s="16"/>
      <c r="B8" s="17"/>
      <c r="C8" s="17"/>
      <c r="D8" s="17"/>
      <c r="E8" s="17"/>
      <c r="F8" s="17"/>
      <c r="G8" s="17"/>
      <c r="H8" s="18"/>
    </row>
    <row r="10" spans="1:8" x14ac:dyDescent="0.25">
      <c r="A10" s="28" t="s">
        <v>121</v>
      </c>
      <c r="B10" s="29"/>
      <c r="C10" s="29"/>
      <c r="D10" s="29"/>
      <c r="E10" s="29"/>
      <c r="F10" s="29"/>
      <c r="G10" s="29"/>
      <c r="H10" s="29"/>
    </row>
    <row r="11" spans="1:8" x14ac:dyDescent="0.25">
      <c r="A11" s="25" t="s">
        <v>122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3" t="str">
        <f>IF(IFERROR(INDEX('LISTAS + README'!$E$18:$E$200, MATCH(1, 'LISTAS + README'!$K$18:$K$200, 0)),"")="","", IFERROR(INDEX('LISTAS + README'!$E$18:$E$200, MATCH(1, 'LISTAS + README'!$K$18:$K$200, 0)),"") &amp; IF(IFERROR(INDEX('LISTAS + README'!$F$18:$F$200, MATCH(1, 'LISTAS + README'!$K$18:$K$200, 0)),"")="","", " (" &amp; IFERROR(INDEX('LISTAS + README'!$F$18:$F$200, MATCH(1, 'LISTAS + README'!$K$18:$K$200, 0)),"") &amp; ")"))</f>
        <v>Ficha de requerimientos + información base del encargo. (PDF)</v>
      </c>
      <c r="B12" s="24"/>
      <c r="C12" s="24"/>
      <c r="D12" s="24"/>
      <c r="E12" s="24"/>
      <c r="F12" s="24"/>
      <c r="G12" s="24"/>
      <c r="H12" s="24"/>
    </row>
    <row r="13" spans="1:8" x14ac:dyDescent="0.25">
      <c r="A13" s="23" t="str">
        <f>IF(IFERROR(INDEX('LISTAS + README'!$E$18:$E$200, MATCH(2, 'LISTAS + README'!$K$18:$K$200, 0)),"")="","", IFERROR(INDEX('LISTAS + README'!$E$18:$E$200, MATCH(2, 'LISTAS + README'!$K$18:$K$200, 0)),"") &amp; IF(IFERROR(INDEX('LISTAS + README'!$F$18:$F$200, MATCH(2, 'LISTAS + README'!$K$18:$K$200, 0)),"")="","", " (" &amp; IFERROR(INDEX('LISTAS + README'!$F$18:$F$200, MATCH(2, 'LISTAS + README'!$K$18:$K$200, 0)),"") &amp; ")"))</f>
        <v/>
      </c>
      <c r="B13" s="24"/>
      <c r="C13" s="24"/>
      <c r="D13" s="24"/>
      <c r="E13" s="24"/>
      <c r="F13" s="24"/>
      <c r="G13" s="24"/>
      <c r="H13" s="24"/>
    </row>
    <row r="14" spans="1:8" x14ac:dyDescent="0.25">
      <c r="A14" s="23" t="str">
        <f>IF(IFERROR(INDEX('LISTAS + README'!$E$18:$E$200, MATCH(3, 'LISTAS + README'!$K$18:$K$200, 0)),"")="","", IFERROR(INDEX('LISTAS + README'!$E$18:$E$200, MATCH(3, 'LISTAS + README'!$K$18:$K$200, 0)),"") &amp; IF(IFERROR(INDEX('LISTAS + README'!$F$18:$F$200, MATCH(3, 'LISTAS + README'!$K$18:$K$200, 0)),"")="","", " (" &amp; IFERROR(INDEX('LISTAS + README'!$F$18:$F$200, MATCH(3, 'LISTAS + README'!$K$18:$K$200, 0)),"") &amp; ")"))</f>
        <v/>
      </c>
      <c r="B14" s="24"/>
      <c r="C14" s="24"/>
      <c r="D14" s="24"/>
      <c r="E14" s="24"/>
      <c r="F14" s="24"/>
      <c r="G14" s="24"/>
      <c r="H14" s="24"/>
    </row>
    <row r="15" spans="1:8" x14ac:dyDescent="0.25">
      <c r="A15" s="23" t="str">
        <f>IF(IFERROR(INDEX('LISTAS + README'!$E$18:$E$200, MATCH(4, 'LISTAS + README'!$K$18:$K$200, 0)),"")="","", IFERROR(INDEX('LISTAS + README'!$E$18:$E$200, MATCH(4, 'LISTAS + README'!$K$18:$K$200, 0)),"") &amp; IF(IFERROR(INDEX('LISTAS + README'!$F$18:$F$200, MATCH(4, 'LISTAS + README'!$K$18:$K$200, 0)),"")="","", " (" &amp; IFERROR(INDEX('LISTAS + README'!$F$18:$F$200, MATCH(4, 'LISTAS + README'!$K$18:$K$200, 0)),"") &amp; ")"))</f>
        <v/>
      </c>
      <c r="B15" s="24"/>
      <c r="C15" s="24"/>
      <c r="D15" s="24"/>
      <c r="E15" s="24"/>
      <c r="F15" s="24"/>
      <c r="G15" s="24"/>
      <c r="H15" s="24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28" t="s">
        <v>123</v>
      </c>
      <c r="B17" s="29"/>
      <c r="C17" s="29"/>
      <c r="D17" s="29"/>
      <c r="E17" s="29"/>
      <c r="F17" s="29"/>
      <c r="G17" s="29"/>
      <c r="H17" s="29"/>
    </row>
    <row r="18" spans="1:8" x14ac:dyDescent="0.25">
      <c r="A18" s="25" t="s">
        <v>122</v>
      </c>
      <c r="B18" s="26"/>
      <c r="C18" s="26"/>
      <c r="D18" s="26"/>
      <c r="E18" s="26"/>
      <c r="F18" s="26"/>
      <c r="G18" s="26"/>
      <c r="H18" s="26"/>
    </row>
    <row r="19" spans="1:8" x14ac:dyDescent="0.25">
      <c r="A19" s="23" t="str">
        <f>IF(IFERROR(INDEX('LISTAS + README'!$E$18:$E$200, MATCH(1, 'LISTAS + README'!$L$18:$L$200, 0)),"")="","", IFERROR(INDEX('LISTAS + README'!$E$18:$E$200, MATCH(1, 'LISTAS + README'!$L$18:$L$200, 0)),"") &amp; IF(IFERROR(INDEX('LISTAS + README'!$F$18:$F$200, MATCH(1, 'LISTAS + README'!$L$18:$L$200, 0)),"")="","", " (" &amp; IFERROR(INDEX('LISTAS + README'!$F$18:$F$200, MATCH(1, 'LISTAS + README'!$L$18:$L$200, 0)),"") &amp; ")"))</f>
        <v>Diagnóstico + recomendaciones de intervención y próximos pasos. (PDF)</v>
      </c>
      <c r="B19" s="24"/>
      <c r="C19" s="24"/>
      <c r="D19" s="24"/>
      <c r="E19" s="24"/>
      <c r="F19" s="24"/>
      <c r="G19" s="24"/>
      <c r="H19" s="24"/>
    </row>
    <row r="20" spans="1:8" x14ac:dyDescent="0.25">
      <c r="A20" s="23" t="str">
        <f>IF(IFERROR(INDEX('LISTAS + README'!$E$18:$E$200, MATCH(2, 'LISTAS + README'!$L$18:$L$200, 0)),"")="","", IFERROR(INDEX('LISTAS + README'!$E$18:$E$200, MATCH(2, 'LISTAS + README'!$L$18:$L$200, 0)),"") &amp; IF(IFERROR(INDEX('LISTAS + README'!$F$18:$F$200, MATCH(2, 'LISTAS + README'!$L$18:$L$200, 0)),"")="","", " (" &amp; IFERROR(INDEX('LISTAS + README'!$F$18:$F$200, MATCH(2, 'LISTAS + README'!$L$18:$L$200, 0)),"") &amp; ")"))</f>
        <v>Propuesta de layout / distribución preliminar. (PDF)</v>
      </c>
      <c r="B20" s="24"/>
      <c r="C20" s="24"/>
      <c r="D20" s="24"/>
      <c r="E20" s="24"/>
      <c r="F20" s="24"/>
      <c r="G20" s="24"/>
      <c r="H20" s="24"/>
    </row>
    <row r="21" spans="1:8" x14ac:dyDescent="0.25">
      <c r="A21" s="23" t="str">
        <f>IF(IFERROR(INDEX('LISTAS + README'!$E$18:$E$200, MATCH(3, 'LISTAS + README'!$L$18:$L$200, 0)),"")="","", IFERROR(INDEX('LISTAS + README'!$E$18:$E$200, MATCH(3, 'LISTAS + README'!$L$18:$L$200, 0)),"") &amp; IF(IFERROR(INDEX('LISTAS + README'!$F$18:$F$200, MATCH(3, 'LISTAS + README'!$L$18:$L$200, 0)),"")="","", " (" &amp; IFERROR(INDEX('LISTAS + README'!$F$18:$F$200, MATCH(3, 'LISTAS + README'!$L$18:$L$200, 0)),"") &amp; ")"))</f>
        <v>Moodboard + criterios de materialidad referencial. (PDF)</v>
      </c>
      <c r="B21" s="24"/>
      <c r="C21" s="24"/>
      <c r="D21" s="24"/>
      <c r="E21" s="24"/>
      <c r="F21" s="24"/>
      <c r="G21" s="24"/>
      <c r="H21" s="24"/>
    </row>
    <row r="22" spans="1:8" x14ac:dyDescent="0.25">
      <c r="A22" s="23" t="str">
        <f>IF(IFERROR(INDEX('LISTAS + README'!$E$18:$E$200, MATCH(4, 'LISTAS + README'!$L$18:$L$200, 0)),"")="","", IFERROR(INDEX('LISTAS + README'!$E$18:$E$200, MATCH(4, 'LISTAS + README'!$L$18:$L$200, 0)),"") &amp; IF(IFERROR(INDEX('LISTAS + README'!$F$18:$F$200, MATCH(4, 'LISTAS + README'!$L$18:$L$200, 0)),"")="","", " (" &amp; IFERROR(INDEX('LISTAS + README'!$F$18:$F$200, MATCH(4, 'LISTAS + README'!$L$18:$L$200, 0)),"") &amp; ")"))</f>
        <v>Plantas preliminares + cortes/elevaciones base. (PDF)</v>
      </c>
      <c r="B22" s="24"/>
      <c r="C22" s="24"/>
      <c r="D22" s="24"/>
      <c r="E22" s="24"/>
      <c r="F22" s="24"/>
      <c r="G22" s="24"/>
      <c r="H22" s="24"/>
    </row>
    <row r="23" spans="1:8" x14ac:dyDescent="0.25">
      <c r="A23" s="23" t="str">
        <f>IF(IFERROR(INDEX('LISTAS + README'!$E$18:$E$200, MATCH(5, 'LISTAS + README'!$L$18:$L$200, 0)),"")="","", IFERROR(INDEX('LISTAS + README'!$E$18:$E$200, MATCH(5, 'LISTAS + README'!$L$18:$L$200, 0)),"") &amp; IF(IFERROR(INDEX('LISTAS + README'!$F$18:$F$200, MATCH(5, 'LISTAS + README'!$L$18:$L$200, 0)),"")="","", " (" &amp; IFERROR(INDEX('LISTAS + README'!$F$18:$F$200, MATCH(5, 'LISTAS + README'!$L$18:$L$200, 0)),"") &amp; ")"))</f>
        <v>Vistas 3D / renders base (según alcance). (JPG/PDF)</v>
      </c>
      <c r="B23" s="24"/>
      <c r="C23" s="24"/>
      <c r="D23" s="24"/>
      <c r="E23" s="24"/>
      <c r="F23" s="24"/>
      <c r="G23" s="24"/>
      <c r="H23" s="24"/>
    </row>
    <row r="24" spans="1:8" x14ac:dyDescent="0.25">
      <c r="A24" s="23" t="str">
        <f>IF(IFERROR(INDEX('LISTAS + README'!$E$18:$E$200, MATCH(6, 'LISTAS + README'!$L$18:$L$200, 0)),"")="","", IFERROR(INDEX('LISTAS + README'!$E$18:$E$200, MATCH(6, 'LISTAS + README'!$L$18:$L$200, 0)),"") &amp; IF(IFERROR(INDEX('LISTAS + README'!$F$18:$F$200, MATCH(6, 'LISTAS + README'!$L$18:$L$200, 0)),"")="","", " (" &amp; IFERROR(INDEX('LISTAS + README'!$F$18:$F$200, MATCH(6, 'LISTAS + README'!$L$18:$L$200, 0)),"") &amp; ")"))</f>
        <v/>
      </c>
      <c r="B24" s="24"/>
      <c r="C24" s="24"/>
      <c r="D24" s="24"/>
      <c r="E24" s="24"/>
      <c r="F24" s="24"/>
      <c r="G24" s="24"/>
      <c r="H24" s="24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28" t="s">
        <v>124</v>
      </c>
      <c r="B26" s="29"/>
      <c r="C26" s="29"/>
      <c r="D26" s="29"/>
      <c r="E26" s="29"/>
      <c r="F26" s="29"/>
      <c r="G26" s="29"/>
      <c r="H26" s="29"/>
    </row>
    <row r="27" spans="1:8" x14ac:dyDescent="0.25">
      <c r="A27" s="25" t="s">
        <v>122</v>
      </c>
      <c r="B27" s="26"/>
      <c r="C27" s="26"/>
      <c r="D27" s="26"/>
      <c r="E27" s="26"/>
      <c r="F27" s="26"/>
      <c r="G27" s="26"/>
      <c r="H27" s="26"/>
    </row>
    <row r="28" spans="1:8" x14ac:dyDescent="0.25">
      <c r="A28" s="23" t="str">
        <f>IF(IFERROR(INDEX('LISTAS + README'!$E$18:$E$200, MATCH(1, 'LISTAS + README'!$M$18:$M$200, 0)),"")="","", IFERROR(INDEX('LISTAS + README'!$E$18:$E$200, MATCH(1, 'LISTAS + README'!$M$18:$M$200, 0)),"") &amp; IF(IFERROR(INDEX('LISTAS + README'!$F$18:$F$200, MATCH(1, 'LISTAS + README'!$M$18:$M$200, 0)),"")="","", " (" &amp; IFERROR(INDEX('LISTAS + README'!$F$18:$F$200, MATCH(1, 'LISTAS + README'!$M$18:$M$200, 0)),"") &amp; ")"))</f>
        <v>Cuadro de acabados / criterios base (si aplica). (PDF)</v>
      </c>
      <c r="B28" s="24"/>
      <c r="C28" s="24"/>
      <c r="D28" s="24"/>
      <c r="E28" s="24"/>
      <c r="F28" s="24"/>
      <c r="G28" s="24"/>
      <c r="H28" s="24"/>
    </row>
    <row r="29" spans="1:8" x14ac:dyDescent="0.25">
      <c r="A29" s="23" t="str">
        <f>IF(IFERROR(INDEX('LISTAS + README'!$E$18:$E$200, MATCH(2, 'LISTAS + README'!$M$18:$M$200, 0)),"")="","", IFERROR(INDEX('LISTAS + README'!$E$18:$E$200, MATCH(2, 'LISTAS + README'!$M$18:$M$200, 0)),"") &amp; IF(IFERROR(INDEX('LISTAS + README'!$F$18:$F$200, MATCH(2, 'LISTAS + README'!$M$18:$M$200, 0)),"")="","", " (" &amp; IFERROR(INDEX('LISTAS + README'!$F$18:$F$200, MATCH(2, 'LISTAS + README'!$M$18:$M$200, 0)),"") &amp; ")"))</f>
        <v>Acta de decisiones / acuerdos de revisión. (PDF)</v>
      </c>
      <c r="B29" s="24"/>
      <c r="C29" s="24"/>
      <c r="D29" s="24"/>
      <c r="E29" s="24"/>
      <c r="F29" s="24"/>
      <c r="G29" s="24"/>
      <c r="H29" s="24"/>
    </row>
    <row r="30" spans="1:8" x14ac:dyDescent="0.25">
      <c r="A30" s="23" t="str">
        <f>IF(IFERROR(INDEX('LISTAS + README'!$E$18:$E$200, MATCH(3, 'LISTAS + README'!$M$18:$M$200, 0)),"")="","", IFERROR(INDEX('LISTAS + README'!$E$18:$E$200, MATCH(3, 'LISTAS + README'!$M$18:$M$200, 0)),"") &amp; IF(IFERROR(INDEX('LISTAS + README'!$F$18:$F$200, MATCH(3, 'LISTAS + README'!$M$18:$M$200, 0)),"")="","", " (" &amp; IFERROR(INDEX('LISTAS + README'!$F$18:$F$200, MATCH(3, 'LISTAS + README'!$M$18:$M$200, 0)),"") &amp; ")"))</f>
        <v/>
      </c>
      <c r="B30" s="24"/>
      <c r="C30" s="24"/>
      <c r="D30" s="24"/>
      <c r="E30" s="24"/>
      <c r="F30" s="24"/>
      <c r="G30" s="24"/>
      <c r="H30" s="24"/>
    </row>
    <row r="31" spans="1:8" x14ac:dyDescent="0.25">
      <c r="A31" s="23" t="str">
        <f>IF(IFERROR(INDEX('LISTAS + README'!$E$18:$E$200, MATCH(4, 'LISTAS + README'!$M$18:$M$200, 0)),"")="","", IFERROR(INDEX('LISTAS + README'!$E$18:$E$200, MATCH(4, 'LISTAS + README'!$M$18:$M$200, 0)),"") &amp; IF(IFERROR(INDEX('LISTAS + README'!$F$18:$F$200, MATCH(4, 'LISTAS + README'!$M$18:$M$200, 0)),"")="","", " (" &amp; IFERROR(INDEX('LISTAS + README'!$F$18:$F$200, MATCH(4, 'LISTAS + README'!$M$18:$M$200, 0)),"") &amp; ")"))</f>
        <v/>
      </c>
      <c r="B31" s="24"/>
      <c r="C31" s="24"/>
      <c r="D31" s="24"/>
      <c r="E31" s="24"/>
      <c r="F31" s="24"/>
      <c r="G31" s="24"/>
      <c r="H31" s="24"/>
    </row>
    <row r="32" spans="1:8" x14ac:dyDescent="0.25">
      <c r="A32" s="23" t="str">
        <f>IF(IFERROR(INDEX('LISTAS + README'!$E$18:$E$200, MATCH(5, 'LISTAS + README'!$M$18:$M$200, 0)),"")="","", IFERROR(INDEX('LISTAS + README'!$E$18:$E$200, MATCH(5, 'LISTAS + README'!$M$18:$M$200, 0)),"") &amp; IF(IFERROR(INDEX('LISTAS + README'!$F$18:$F$200, MATCH(5, 'LISTAS + README'!$M$18:$M$200, 0)),"")="","", " (" &amp; IFERROR(INDEX('LISTAS + README'!$F$18:$F$200, MATCH(5, 'LISTAS + README'!$M$18:$M$200, 0)),"") &amp; ")"))</f>
        <v/>
      </c>
      <c r="B32" s="24"/>
      <c r="C32" s="24"/>
      <c r="D32" s="24"/>
      <c r="E32" s="24"/>
      <c r="F32" s="24"/>
      <c r="G32" s="24"/>
      <c r="H32" s="24"/>
    </row>
    <row r="33" spans="1:8" x14ac:dyDescent="0.25">
      <c r="A33" s="23" t="str">
        <f>IF(IFERROR(INDEX('LISTAS + README'!$E$18:$E$200, MATCH(6, 'LISTAS + README'!$M$18:$M$200, 0)),"")="","", IFERROR(INDEX('LISTAS + README'!$E$18:$E$200, MATCH(6, 'LISTAS + README'!$M$18:$M$200, 0)),"") &amp; IF(IFERROR(INDEX('LISTAS + README'!$F$18:$F$200, MATCH(6, 'LISTAS + README'!$M$18:$M$200, 0)),"")="","", " (" &amp; IFERROR(INDEX('LISTAS + README'!$F$18:$F$200, MATCH(6, 'LISTAS + README'!$M$18:$M$200, 0)),"") &amp; ")"))</f>
        <v/>
      </c>
      <c r="B33" s="24"/>
      <c r="C33" s="24"/>
      <c r="D33" s="24"/>
      <c r="E33" s="24"/>
      <c r="F33" s="24"/>
      <c r="G33" s="24"/>
      <c r="H33" s="24"/>
    </row>
    <row r="34" spans="1:8" x14ac:dyDescent="0.25">
      <c r="A34" s="9"/>
      <c r="B34" s="9"/>
      <c r="C34" s="9"/>
      <c r="D34" s="9"/>
      <c r="E34" s="9"/>
      <c r="F34" s="9"/>
      <c r="G34" s="9"/>
      <c r="H34" s="9"/>
    </row>
    <row r="35" spans="1:8" x14ac:dyDescent="0.25">
      <c r="A35" s="28" t="s">
        <v>125</v>
      </c>
      <c r="B35" s="29"/>
      <c r="C35" s="29"/>
      <c r="D35" s="29"/>
      <c r="E35" s="29"/>
      <c r="F35" s="29"/>
      <c r="G35" s="29"/>
      <c r="H35" s="29"/>
    </row>
    <row r="36" spans="1:8" x14ac:dyDescent="0.25">
      <c r="A36" s="25" t="s">
        <v>122</v>
      </c>
      <c r="B36" s="26"/>
      <c r="C36" s="26"/>
      <c r="D36" s="26"/>
      <c r="E36" s="26"/>
      <c r="F36" s="26"/>
      <c r="G36" s="26"/>
      <c r="H36" s="26"/>
    </row>
    <row r="37" spans="1:8" x14ac:dyDescent="0.25">
      <c r="A37" s="23" t="str">
        <f>IF(IFERROR(INDEX('LISTAS + README'!$E$18:$E$200, MATCH(1, 'LISTAS + README'!$N$18:$N$200, 0)),"")="","", IFERROR(INDEX('LISTAS + README'!$E$18:$E$200, MATCH(1, 'LISTAS + README'!$N$18:$N$200, 0)),"") &amp; IF(IFERROR(INDEX('LISTAS + README'!$F$18:$F$200, MATCH(1, 'LISTAS + README'!$N$18:$N$200, 0)),"")="","", " (" &amp; IFERROR(INDEX('LISTAS + README'!$F$18:$F$200, MATCH(1, 'LISTAS + README'!$N$18:$N$200, 0)),"") &amp; ")"))</f>
        <v>Memoria descriptiva arquitectónica. (PDF)</v>
      </c>
      <c r="B37" s="24"/>
      <c r="C37" s="24"/>
      <c r="D37" s="24"/>
      <c r="E37" s="24"/>
      <c r="F37" s="24"/>
      <c r="G37" s="24"/>
      <c r="H37" s="24"/>
    </row>
    <row r="38" spans="1:8" x14ac:dyDescent="0.25">
      <c r="A38" s="23" t="str">
        <f>IF(IFERROR(INDEX('LISTAS + README'!$E$18:$E$200, MATCH(2, 'LISTAS + README'!$N$18:$N$200, 0)),"")="","", IFERROR(INDEX('LISTAS + README'!$E$18:$E$200, MATCH(2, 'LISTAS + README'!$N$18:$N$200, 0)),"") &amp; IF(IFERROR(INDEX('LISTAS + README'!$F$18:$F$200, MATCH(2, 'LISTAS + README'!$N$18:$N$200, 0)),"")="","", " (" &amp; IFERROR(INDEX('LISTAS + README'!$F$18:$F$200, MATCH(2, 'LISTAS + README'!$N$18:$N$200, 0)),"") &amp; ")"))</f>
        <v/>
      </c>
      <c r="B38" s="24"/>
      <c r="C38" s="24"/>
      <c r="D38" s="24"/>
      <c r="E38" s="24"/>
      <c r="F38" s="24"/>
      <c r="G38" s="24"/>
      <c r="H38" s="24"/>
    </row>
    <row r="39" spans="1:8" x14ac:dyDescent="0.25">
      <c r="A39" s="23" t="str">
        <f>IF(IFERROR(INDEX('LISTAS + README'!$E$18:$E$200, MATCH(3, 'LISTAS + README'!$N$18:$N$200, 0)),"")="","", IFERROR(INDEX('LISTAS + README'!$E$18:$E$200, MATCH(3, 'LISTAS + README'!$N$18:$N$200, 0)),"") &amp; IF(IFERROR(INDEX('LISTAS + README'!$F$18:$F$200, MATCH(3, 'LISTAS + README'!$N$18:$N$200, 0)),"")="","", " (" &amp; IFERROR(INDEX('LISTAS + README'!$F$18:$F$200, MATCH(3, 'LISTAS + README'!$N$18:$N$200, 0)),"") &amp; ")"))</f>
        <v/>
      </c>
      <c r="B39" s="24"/>
      <c r="C39" s="24"/>
      <c r="D39" s="24"/>
      <c r="E39" s="24"/>
      <c r="F39" s="24"/>
      <c r="G39" s="24"/>
      <c r="H39" s="24"/>
    </row>
    <row r="40" spans="1:8" x14ac:dyDescent="0.25">
      <c r="A40" s="23" t="str">
        <f>IF(IFERROR(INDEX('LISTAS + README'!$E$18:$E$200, MATCH(4, 'LISTAS + README'!$N$18:$N$200, 0)),"")="","", IFERROR(INDEX('LISTAS + README'!$E$18:$E$200, MATCH(4, 'LISTAS + README'!$N$18:$N$200, 0)),"") &amp; IF(IFERROR(INDEX('LISTAS + README'!$F$18:$F$200, MATCH(4, 'LISTAS + README'!$N$18:$N$200, 0)),"")="","", " (" &amp; IFERROR(INDEX('LISTAS + README'!$F$18:$F$200, MATCH(4, 'LISTAS + README'!$N$18:$N$200, 0)),"") &amp; ")"))</f>
        <v/>
      </c>
      <c r="B40" s="24"/>
      <c r="C40" s="24"/>
      <c r="D40" s="24"/>
      <c r="E40" s="24"/>
      <c r="F40" s="24"/>
      <c r="G40" s="24"/>
      <c r="H40" s="24"/>
    </row>
    <row r="41" spans="1:8" x14ac:dyDescent="0.25">
      <c r="A41" s="9"/>
      <c r="B41" s="9"/>
      <c r="C41" s="9"/>
      <c r="D41" s="9"/>
      <c r="E41" s="9"/>
      <c r="F41" s="9"/>
      <c r="G41" s="9"/>
      <c r="H41" s="9"/>
    </row>
    <row r="42" spans="1:8" x14ac:dyDescent="0.25">
      <c r="A42" s="28" t="s">
        <v>126</v>
      </c>
      <c r="B42" s="29"/>
      <c r="C42" s="29"/>
      <c r="D42" s="29"/>
      <c r="E42" s="29"/>
      <c r="F42" s="29"/>
      <c r="G42" s="29"/>
      <c r="H42" s="29"/>
    </row>
    <row r="43" spans="1:8" x14ac:dyDescent="0.25">
      <c r="A43" s="25" t="s">
        <v>122</v>
      </c>
      <c r="B43" s="26"/>
      <c r="C43" s="26"/>
      <c r="D43" s="26"/>
      <c r="E43" s="26"/>
      <c r="F43" s="26"/>
      <c r="G43" s="26"/>
      <c r="H43" s="26"/>
    </row>
    <row r="44" spans="1:8" x14ac:dyDescent="0.25">
      <c r="A44" s="23" t="str">
        <f>IF(IFERROR(INDEX('LISTAS + README'!$E$18:$E$200, MATCH(1, 'LISTAS + README'!$O$18:$O$200, 0)),"")="","", IFERROR(INDEX('LISTAS + README'!$E$18:$E$200, MATCH(1, 'LISTAS + README'!$O$18:$O$200, 0)),"") &amp; IF(IFERROR(INDEX('LISTAS + README'!$F$18:$F$200, MATCH(1, 'LISTAS + README'!$O$18:$O$200, 0)),"")="","", " (" &amp; IFERROR(INDEX('LISTAS + README'!$F$18:$F$200, MATCH(1, 'LISTAS + README'!$O$18:$O$200, 0)),"") &amp; ")"))</f>
        <v>Absolución de consultas y revisiones puntuales. (Email/PDF)</v>
      </c>
      <c r="B44" s="24"/>
      <c r="C44" s="24"/>
      <c r="D44" s="24"/>
      <c r="E44" s="24"/>
      <c r="F44" s="24"/>
      <c r="G44" s="24"/>
      <c r="H44" s="24"/>
    </row>
    <row r="45" spans="1:8" x14ac:dyDescent="0.25">
      <c r="A45" s="23" t="str">
        <f>IF(IFERROR(INDEX('LISTAS + README'!$E$18:$E$200, MATCH(2, 'LISTAS + README'!$O$18:$O$200, 0)),"")="","", IFERROR(INDEX('LISTAS + README'!$E$18:$E$200, MATCH(2, 'LISTAS + README'!$O$18:$O$200, 0)),"") &amp; IF(IFERROR(INDEX('LISTAS + README'!$F$18:$F$200, MATCH(2, 'LISTAS + README'!$O$18:$O$200, 0)),"")="","", " (" &amp; IFERROR(INDEX('LISTAS + README'!$F$18:$F$200, MATCH(2, 'LISTAS + README'!$O$18:$O$200, 0)),"") &amp; ")"))</f>
        <v>Registro de cambios y adicionales (si aplica). (PDF)</v>
      </c>
      <c r="B45" s="24"/>
      <c r="C45" s="24"/>
      <c r="D45" s="24"/>
      <c r="E45" s="24"/>
      <c r="F45" s="24"/>
      <c r="G45" s="24"/>
      <c r="H45" s="24"/>
    </row>
    <row r="46" spans="1:8" x14ac:dyDescent="0.25">
      <c r="A46" s="23" t="str">
        <f>IF(IFERROR(INDEX('LISTAS + README'!$E$18:$E$200, MATCH(3, 'LISTAS + README'!$O$18:$O$200, 0)),"")="","", IFERROR(INDEX('LISTAS + README'!$E$18:$E$200, MATCH(3, 'LISTAS + README'!$O$18:$O$200, 0)),"") &amp; IF(IFERROR(INDEX('LISTAS + README'!$F$18:$F$200, MATCH(3, 'LISTAS + README'!$O$18:$O$200, 0)),"")="","", " (" &amp; IFERROR(INDEX('LISTAS + README'!$F$18:$F$200, MATCH(3, 'LISTAS + README'!$O$18:$O$200, 0)),"") &amp; ")"))</f>
        <v/>
      </c>
      <c r="B46" s="24"/>
      <c r="C46" s="24"/>
      <c r="D46" s="24"/>
      <c r="E46" s="24"/>
      <c r="F46" s="24"/>
      <c r="G46" s="24"/>
      <c r="H46" s="24"/>
    </row>
    <row r="47" spans="1:8" x14ac:dyDescent="0.25">
      <c r="A47" s="23" t="str">
        <f>IF(IFERROR(INDEX('LISTAS + README'!$E$18:$E$200, MATCH(4, 'LISTAS + README'!$O$18:$O$200, 0)),"")="","", IFERROR(INDEX('LISTAS + README'!$E$18:$E$200, MATCH(4, 'LISTAS + README'!$O$18:$O$200, 0)),"") &amp; IF(IFERROR(INDEX('LISTAS + README'!$F$18:$F$200, MATCH(4, 'LISTAS + README'!$O$18:$O$200, 0)),"")="","", " (" &amp; IFERROR(INDEX('LISTAS + README'!$F$18:$F$200, MATCH(4, 'LISTAS + README'!$O$18:$O$200, 0)),"") &amp; ")"))</f>
        <v/>
      </c>
      <c r="B47" s="24"/>
      <c r="C47" s="24"/>
      <c r="D47" s="24"/>
      <c r="E47" s="24"/>
      <c r="F47" s="24"/>
      <c r="G47" s="24"/>
      <c r="H47" s="24"/>
    </row>
    <row r="48" spans="1:8" ht="26.1" customHeight="1" x14ac:dyDescent="0.25">
      <c r="A48" s="9"/>
      <c r="B48" s="9"/>
      <c r="C48" s="9"/>
      <c r="D48" s="9"/>
      <c r="E48" s="9"/>
      <c r="F48" s="9"/>
      <c r="G48" s="9"/>
      <c r="H48" s="9"/>
    </row>
    <row r="49" spans="1:8" ht="26.1" customHeight="1" x14ac:dyDescent="0.25">
      <c r="A49" s="9"/>
      <c r="B49" s="9"/>
      <c r="C49" s="9"/>
      <c r="D49" s="9"/>
      <c r="E49" s="9"/>
      <c r="F49" s="9"/>
      <c r="G49" s="9"/>
      <c r="H49" s="9"/>
    </row>
    <row r="50" spans="1:8" ht="26.1" customHeight="1" x14ac:dyDescent="0.25">
      <c r="A50" s="9"/>
      <c r="B50" s="9"/>
      <c r="C50" s="9"/>
      <c r="D50" s="9"/>
      <c r="E50" s="9"/>
      <c r="F50" s="9"/>
      <c r="G50" s="9"/>
      <c r="H50" s="9"/>
    </row>
    <row r="51" spans="1:8" x14ac:dyDescent="0.25">
      <c r="A51" s="9"/>
      <c r="B51" s="9"/>
      <c r="C51" s="9"/>
      <c r="D51" s="9"/>
      <c r="E51" s="9"/>
      <c r="F51" s="9"/>
      <c r="G51" s="9"/>
      <c r="H51" s="9"/>
    </row>
    <row r="52" spans="1:8" x14ac:dyDescent="0.25">
      <c r="A52" s="9"/>
      <c r="B52" s="9"/>
      <c r="C52" s="9"/>
      <c r="D52" s="9"/>
      <c r="E52" s="9"/>
      <c r="F52" s="9"/>
      <c r="G52" s="9"/>
      <c r="H52" s="9"/>
    </row>
    <row r="53" spans="1:8" x14ac:dyDescent="0.25">
      <c r="A53" s="9"/>
      <c r="B53" s="9"/>
      <c r="C53" s="9"/>
      <c r="D53" s="9"/>
      <c r="E53" s="9"/>
      <c r="F53" s="9"/>
      <c r="G53" s="9"/>
      <c r="H53" s="9"/>
    </row>
    <row r="54" spans="1:8" x14ac:dyDescent="0.25">
      <c r="A54" s="9"/>
      <c r="B54" s="9"/>
      <c r="C54" s="9"/>
      <c r="D54" s="9"/>
      <c r="E54" s="9"/>
      <c r="F54" s="9"/>
      <c r="G54" s="9"/>
      <c r="H54" s="9"/>
    </row>
    <row r="55" spans="1:8" x14ac:dyDescent="0.25">
      <c r="A55" s="9"/>
      <c r="B55" s="9"/>
      <c r="C55" s="9"/>
      <c r="D55" s="9"/>
      <c r="E55" s="9"/>
      <c r="F55" s="9"/>
      <c r="G55" s="9"/>
      <c r="H55" s="9"/>
    </row>
  </sheetData>
  <mergeCells count="41">
    <mergeCell ref="B3:D3"/>
    <mergeCell ref="A29:H29"/>
    <mergeCell ref="A35:H35"/>
    <mergeCell ref="A20:H20"/>
    <mergeCell ref="A7:H8"/>
    <mergeCell ref="A10:H10"/>
    <mergeCell ref="A28:H28"/>
    <mergeCell ref="A13:H13"/>
    <mergeCell ref="A19:H19"/>
    <mergeCell ref="F3:H3"/>
    <mergeCell ref="A31:H31"/>
    <mergeCell ref="A47:H47"/>
    <mergeCell ref="A23:H23"/>
    <mergeCell ref="A32:H32"/>
    <mergeCell ref="A22:H22"/>
    <mergeCell ref="A17:H17"/>
    <mergeCell ref="A38:H38"/>
    <mergeCell ref="A43:H43"/>
    <mergeCell ref="A44:H44"/>
    <mergeCell ref="A40:H40"/>
    <mergeCell ref="A11:H11"/>
    <mergeCell ref="A1:H1"/>
    <mergeCell ref="A45:H45"/>
    <mergeCell ref="A37:H37"/>
    <mergeCell ref="A46:H46"/>
    <mergeCell ref="A27:H27"/>
    <mergeCell ref="A12:H12"/>
    <mergeCell ref="A18:H18"/>
    <mergeCell ref="A26:H26"/>
    <mergeCell ref="B5:D5"/>
    <mergeCell ref="A21:H21"/>
    <mergeCell ref="B4:D4"/>
    <mergeCell ref="A42:H42"/>
    <mergeCell ref="F4:H4"/>
    <mergeCell ref="A14:H14"/>
    <mergeCell ref="A33:H33"/>
    <mergeCell ref="A30:H30"/>
    <mergeCell ref="A39:H39"/>
    <mergeCell ref="A15:H15"/>
    <mergeCell ref="A24:H24"/>
    <mergeCell ref="A36:H36"/>
  </mergeCells>
  <pageMargins left="0.35" right="0.35" top="0.4" bottom="0.4" header="0.5" footer="0.5"/>
  <pageSetup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'LISTAS + README'!$A$11:$A$16</xm:f>
          </x14:formula1>
          <xm:sqref>B5 B18 B19 B20 B21 B22 B23 B24 B25 B26 B27 B28 B29 B30 B31 B32 B33 B34 B35 B36 B37 B38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LISTAS + README</vt:lpstr>
      <vt:lpstr>PRESENTACIÓN</vt:lpstr>
      <vt:lpstr>PRESENTACIÓN!Área_de_impresión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matteo Uccelli meneses</cp:lastModifiedBy>
  <cp:lastPrinted>2026-03-13T00:09:15Z</cp:lastPrinted>
  <dcterms:created xsi:type="dcterms:W3CDTF">2026-03-12T23:54:35Z</dcterms:created>
  <dcterms:modified xsi:type="dcterms:W3CDTF">2026-03-13T00:11:39Z</dcterms:modified>
</cp:coreProperties>
</file>