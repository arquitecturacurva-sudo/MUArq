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MUArq\"/>
    </mc:Choice>
  </mc:AlternateContent>
  <xr:revisionPtr revIDLastSave="0" documentId="13_ncr:1_{F835ABBD-0526-4A78-936D-CA55F3B564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AS + README" sheetId="1" r:id="rId1"/>
    <sheet name="CALCULADORA" sheetId="2" r:id="rId2"/>
    <sheet name="PRESENTACION" sheetId="3" r:id="rId3"/>
  </sheets>
  <definedNames>
    <definedName name="ClienteLista">'LISTAS + README'!$K$13:$K$15</definedName>
    <definedName name="ComplejidadLista">'LISTAS + README'!$E$13:$E$16</definedName>
    <definedName name="EtapasServicio">'LISTAS + README'!$C$13:$C$17</definedName>
    <definedName name="ModeloLista">'LISTAS + README'!$N$13:$N$17</definedName>
    <definedName name="TablaTarifas">'LISTAS + README'!$A$24:$F$29</definedName>
    <definedName name="TiposProyecto">'LISTAS + README'!$A$13:$A$18</definedName>
    <definedName name="UrgenciaLista">'LISTAS + README'!$H$13:$H$15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B9" i="3"/>
  <c r="B8" i="3"/>
  <c r="E7" i="3"/>
  <c r="B7" i="3"/>
  <c r="E6" i="3"/>
  <c r="B6" i="3"/>
  <c r="B4" i="3"/>
  <c r="B3" i="3"/>
  <c r="B26" i="2"/>
  <c r="B24" i="3" s="1"/>
  <c r="A26" i="2"/>
  <c r="A24" i="3" s="1"/>
  <c r="B25" i="2"/>
  <c r="B23" i="3" s="1"/>
  <c r="A25" i="2"/>
  <c r="A23" i="3" s="1"/>
  <c r="B24" i="2"/>
  <c r="B22" i="3" s="1"/>
  <c r="A24" i="2"/>
  <c r="G21" i="2"/>
  <c r="E15" i="3" s="1"/>
  <c r="G19" i="2"/>
  <c r="G18" i="2"/>
  <c r="G17" i="2"/>
  <c r="G16" i="2"/>
  <c r="G14" i="2"/>
  <c r="G15" i="2" s="1"/>
  <c r="B6" i="2"/>
  <c r="B5" i="3" s="1"/>
  <c r="E5" i="3" l="1"/>
  <c r="E13" i="3"/>
  <c r="G20" i="2"/>
  <c r="G22" i="2" l="1"/>
  <c r="E14" i="3"/>
  <c r="G23" i="2" l="1"/>
  <c r="E16" i="3" s="1"/>
  <c r="G24" i="2" l="1"/>
  <c r="E3" i="3" l="1"/>
  <c r="C26" i="2"/>
  <c r="C24" i="3" s="1"/>
  <c r="G25" i="2"/>
  <c r="C25" i="2"/>
  <c r="C23" i="3" s="1"/>
  <c r="C24" i="2"/>
  <c r="C22" i="3" s="1"/>
  <c r="E17" i="3"/>
</calcChain>
</file>

<file path=xl/sharedStrings.xml><?xml version="1.0" encoding="utf-8"?>
<sst xmlns="http://schemas.openxmlformats.org/spreadsheetml/2006/main" count="152" uniqueCount="111">
  <si>
    <t>CALCULADORA DE HONORARIOS — README</t>
  </si>
  <si>
    <t>2. Selecciona Tipo de proyecto, Etapa/Servicio, Complejidad, Urgencia y Tipo de cliente.</t>
  </si>
  <si>
    <t>3. Ingresa área, número de reuniones/visitas y opcionales.</t>
  </si>
  <si>
    <t>4. La hoja calcula un honorario referencial con ajustes por complejidad, urgencia, cliente y forma de contratación.</t>
  </si>
  <si>
    <t>6. Edita tarifas y multiplicadores en esta misma hoja si quieres adaptar la herramienta a tu mercado.</t>
  </si>
  <si>
    <t>7. Esta calculadora es referencial: la decisión final debe validarse con alcance, exclusiones y matriz de entregables.</t>
  </si>
  <si>
    <t>LISTA_TIPO_PROYECTO</t>
  </si>
  <si>
    <t>LISTA_ETAPA</t>
  </si>
  <si>
    <t>LISTA_COMPLEJIDAD</t>
  </si>
  <si>
    <t>LISTA_URGENCIA</t>
  </si>
  <si>
    <t>LISTA_CLIENTE</t>
  </si>
  <si>
    <t>LISTA_MODELO</t>
  </si>
  <si>
    <t>Vivienda</t>
  </si>
  <si>
    <t>Levantamiento</t>
  </si>
  <si>
    <t>Baja</t>
  </si>
  <si>
    <t>Normal</t>
  </si>
  <si>
    <t>Particular</t>
  </si>
  <si>
    <t>Suma alzada</t>
  </si>
  <si>
    <t>Comercial</t>
  </si>
  <si>
    <t>Anteproyecto</t>
  </si>
  <si>
    <t>Media</t>
  </si>
  <si>
    <t>Rápido</t>
  </si>
  <si>
    <t>Empresa</t>
  </si>
  <si>
    <t>Precios unitarios</t>
  </si>
  <si>
    <t>Oficina</t>
  </si>
  <si>
    <t>Proyecto arquitectónico</t>
  </si>
  <si>
    <t>Alta</t>
  </si>
  <si>
    <t>Urgente</t>
  </si>
  <si>
    <t>Institucional</t>
  </si>
  <si>
    <t>Cost + Fee</t>
  </si>
  <si>
    <t>Remodelación</t>
  </si>
  <si>
    <t>Expediente técnico</t>
  </si>
  <si>
    <t>Muy alta</t>
  </si>
  <si>
    <t>Gestión de obra</t>
  </si>
  <si>
    <t>Interiorismo</t>
  </si>
  <si>
    <t>Supervisión</t>
  </si>
  <si>
    <t>Diseño + Build</t>
  </si>
  <si>
    <t>Industrial pequeño</t>
  </si>
  <si>
    <t>TARIFAS BASE POR M2 (S/)</t>
  </si>
  <si>
    <t>OTROS PARÁMETROS</t>
  </si>
  <si>
    <t>Tipo de proyecto</t>
  </si>
  <si>
    <t>Costo por reunión extra (S/)</t>
  </si>
  <si>
    <t>Costo por visita extra (S/)</t>
  </si>
  <si>
    <t>Costo por render extra (S/)</t>
  </si>
  <si>
    <t>Buffer comercial mínimo</t>
  </si>
  <si>
    <t>IGV</t>
  </si>
  <si>
    <t>HITOS REFERENCIALES</t>
  </si>
  <si>
    <t>Hito</t>
  </si>
  <si>
    <t>%</t>
  </si>
  <si>
    <t>Adelanto</t>
  </si>
  <si>
    <t>Mitad</t>
  </si>
  <si>
    <t>Entrega</t>
  </si>
  <si>
    <t>CALCULADORA DE HONORARIOS</t>
  </si>
  <si>
    <t>DATOS DEL PROYECTO</t>
  </si>
  <si>
    <t>FACTORES</t>
  </si>
  <si>
    <t>Cliente</t>
  </si>
  <si>
    <t>Complejidad</t>
  </si>
  <si>
    <t>Proyecto</t>
  </si>
  <si>
    <t>Urgencia</t>
  </si>
  <si>
    <t>Fecha</t>
  </si>
  <si>
    <t>Tipo de cliente</t>
  </si>
  <si>
    <t>Margen comercial adicional</t>
  </si>
  <si>
    <t>Etapa / servicio</t>
  </si>
  <si>
    <t>Descuento comercial</t>
  </si>
  <si>
    <t>Área (m²)</t>
  </si>
  <si>
    <t>Redondeo sugerido</t>
  </si>
  <si>
    <t>Modelo de contratación</t>
  </si>
  <si>
    <t>Incluir IGV</t>
  </si>
  <si>
    <t>Sí</t>
  </si>
  <si>
    <t>EXTRAS</t>
  </si>
  <si>
    <t>RESULTADO</t>
  </si>
  <si>
    <t>Reuniones incluidas</t>
  </si>
  <si>
    <t>Tarifa base por m²</t>
  </si>
  <si>
    <t>Reuniones extra</t>
  </si>
  <si>
    <t>Honorario base</t>
  </si>
  <si>
    <t>Visitas incluidas</t>
  </si>
  <si>
    <t>Factor complejidad</t>
  </si>
  <si>
    <t>Visitas extra</t>
  </si>
  <si>
    <t>Factor urgencia</t>
  </si>
  <si>
    <t>Renders incluidos</t>
  </si>
  <si>
    <t>Factor cliente</t>
  </si>
  <si>
    <t>Renders extra</t>
  </si>
  <si>
    <t>Factor modelo</t>
  </si>
  <si>
    <t>Honorario ajustado</t>
  </si>
  <si>
    <t>Extras</t>
  </si>
  <si>
    <t>HITOS DE COBRO REFERENCIALES</t>
  </si>
  <si>
    <t>Subtotal</t>
  </si>
  <si>
    <t>Monto</t>
  </si>
  <si>
    <t>Comentario</t>
  </si>
  <si>
    <t>Pago referencial</t>
  </si>
  <si>
    <t>Total sugerido</t>
  </si>
  <si>
    <t>Rango sugerido</t>
  </si>
  <si>
    <t>Notas</t>
  </si>
  <si>
    <t>La calculadora es una referencia comercial. Ajusta alcance, exclusiones, cronograma y condiciones antes de enviar una cotización final.</t>
  </si>
  <si>
    <t>RESUMEN DE HONORARIOS</t>
  </si>
  <si>
    <t>Tarifa base</t>
  </si>
  <si>
    <t>Área</t>
  </si>
  <si>
    <t>DESGLOSE</t>
  </si>
  <si>
    <t>Concepto</t>
  </si>
  <si>
    <t>Área × tarifa base</t>
  </si>
  <si>
    <t>Ajustes</t>
  </si>
  <si>
    <t>Complejidad, urgencia, cliente y modelo</t>
  </si>
  <si>
    <t>Reuniones, visitas y renders extra</t>
  </si>
  <si>
    <t>Si corresponde</t>
  </si>
  <si>
    <t>TOTAL</t>
  </si>
  <si>
    <t/>
  </si>
  <si>
    <t>Resumen referencial para convertir en cotización final. Validar alcance, entregables, exclusiones, cronograma y condiciones antes de enviarlo al cliente.</t>
  </si>
  <si>
    <r>
      <t xml:space="preserve">1. Llena solo las celdas amarillas en la hoja </t>
    </r>
    <r>
      <rPr>
        <b/>
        <sz val="16"/>
        <color theme="1"/>
        <rFont val="Calibri"/>
        <family val="2"/>
        <scheme val="minor"/>
      </rPr>
      <t>CALCULADORA.</t>
    </r>
  </si>
  <si>
    <r>
      <t xml:space="preserve">5. Usa </t>
    </r>
    <r>
      <rPr>
        <b/>
        <sz val="16"/>
        <color theme="1"/>
        <rFont val="Calibri"/>
        <family val="2"/>
        <scheme val="minor"/>
      </rPr>
      <t>PRESENTACION</t>
    </r>
    <r>
      <rPr>
        <sz val="16"/>
        <color theme="1"/>
        <rFont val="Calibri"/>
        <family val="2"/>
        <scheme val="minor"/>
      </rPr>
      <t xml:space="preserve"> para exportar un resumen limpio a PDF o compartir internamente.</t>
    </r>
  </si>
  <si>
    <t>Honorario</t>
  </si>
  <si>
    <t>Monto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</si>
</sst>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&quot;S/&quot;\ #,##0;[Red]\(&quot;S/&quot;\ #,##0\)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Calibri"/>
    </font>
    <font>
      <b/>
      <sz val="11"/>
      <color rgb="FF666666"/>
      <name val="Calibri"/>
    </font>
    <font>
      <sz val="11"/>
      <color rgb="FF0000FF"/>
      <name val="Calibri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66666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EADCF8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5" fillId="0" borderId="0" xfId="0" applyFont="1" applyAlignment="1">
      <alignment vertical="center" wrapText="1"/>
    </xf>
    <xf numFmtId="0" fontId="6" fillId="8" borderId="1" xfId="0" applyFont="1" applyFill="1" applyBorder="1"/>
    <xf numFmtId="0" fontId="6" fillId="8" borderId="1" xfId="0" applyFont="1" applyFill="1" applyBorder="1" applyAlignment="1">
      <alignment vertical="center" wrapText="1"/>
    </xf>
    <xf numFmtId="164" fontId="6" fillId="8" borderId="1" xfId="0" applyNumberFormat="1" applyFont="1" applyFill="1" applyBorder="1" applyAlignment="1">
      <alignment vertical="center" wrapText="1"/>
    </xf>
    <xf numFmtId="165" fontId="6" fillId="8" borderId="1" xfId="0" applyNumberFormat="1" applyFont="1" applyFill="1" applyBorder="1" applyAlignment="1">
      <alignment vertical="center" wrapText="1"/>
    </xf>
    <xf numFmtId="1" fontId="6" fillId="8" borderId="1" xfId="0" applyNumberFormat="1" applyFont="1" applyFill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7" fillId="0" borderId="0" xfId="0" applyFont="1" applyAlignment="1">
      <alignment vertical="top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2" borderId="0" xfId="0" applyFont="1" applyFill="1"/>
    <xf numFmtId="0" fontId="3" fillId="7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opLeftCell="A9" workbookViewId="0">
      <selection activeCell="F33" sqref="F33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3" width="22" customWidth="1"/>
    <col min="4" max="4" width="14" customWidth="1"/>
    <col min="5" max="5" width="18" customWidth="1"/>
    <col min="6" max="6" width="12" customWidth="1"/>
    <col min="8" max="8" width="28" customWidth="1"/>
    <col min="9" max="9" width="12" customWidth="1"/>
    <col min="11" max="11" width="18" customWidth="1"/>
    <col min="12" max="12" width="12" customWidth="1"/>
    <col min="14" max="14" width="20" customWidth="1"/>
    <col min="15" max="15" width="12" customWidth="1"/>
  </cols>
  <sheetData>
    <row r="1" spans="1:15" ht="18.75" x14ac:dyDescent="0.3">
      <c r="A1" s="25" t="s">
        <v>0</v>
      </c>
      <c r="B1" s="22"/>
      <c r="C1" s="22"/>
      <c r="D1" s="22"/>
      <c r="E1" s="22"/>
      <c r="F1" s="22"/>
    </row>
    <row r="3" spans="1:15" ht="21" x14ac:dyDescent="0.35">
      <c r="A3" s="17" t="s">
        <v>107</v>
      </c>
      <c r="B3" s="18"/>
    </row>
    <row r="4" spans="1:15" ht="21" x14ac:dyDescent="0.35">
      <c r="A4" s="17" t="s">
        <v>1</v>
      </c>
      <c r="B4" s="18"/>
    </row>
    <row r="5" spans="1:15" ht="21" x14ac:dyDescent="0.35">
      <c r="A5" s="17" t="s">
        <v>2</v>
      </c>
      <c r="B5" s="18"/>
    </row>
    <row r="6" spans="1:15" ht="21" x14ac:dyDescent="0.35">
      <c r="A6" s="17" t="s">
        <v>3</v>
      </c>
      <c r="B6" s="18"/>
    </row>
    <row r="7" spans="1:15" ht="21" x14ac:dyDescent="0.35">
      <c r="A7" s="17" t="s">
        <v>108</v>
      </c>
      <c r="B7" s="18"/>
    </row>
    <row r="8" spans="1:15" ht="21" x14ac:dyDescent="0.35">
      <c r="A8" s="17" t="s">
        <v>4</v>
      </c>
      <c r="B8" s="18"/>
    </row>
    <row r="9" spans="1:15" ht="21" x14ac:dyDescent="0.35">
      <c r="A9" s="17" t="s">
        <v>5</v>
      </c>
      <c r="B9" s="18"/>
    </row>
    <row r="12" spans="1:15" x14ac:dyDescent="0.25">
      <c r="A12" s="1" t="s">
        <v>6</v>
      </c>
      <c r="C12" s="1" t="s">
        <v>7</v>
      </c>
      <c r="E12" s="1" t="s">
        <v>8</v>
      </c>
      <c r="H12" s="1" t="s">
        <v>9</v>
      </c>
      <c r="K12" s="1" t="s">
        <v>10</v>
      </c>
      <c r="N12" s="1" t="s">
        <v>11</v>
      </c>
    </row>
    <row r="13" spans="1:15" x14ac:dyDescent="0.25">
      <c r="A13" t="s">
        <v>12</v>
      </c>
      <c r="C13" t="s">
        <v>13</v>
      </c>
      <c r="E13" t="s">
        <v>14</v>
      </c>
      <c r="F13">
        <v>0.9</v>
      </c>
      <c r="H13" t="s">
        <v>15</v>
      </c>
      <c r="I13">
        <v>1</v>
      </c>
      <c r="K13" t="s">
        <v>16</v>
      </c>
      <c r="L13">
        <v>1</v>
      </c>
      <c r="N13" t="s">
        <v>17</v>
      </c>
      <c r="O13">
        <v>1</v>
      </c>
    </row>
    <row r="14" spans="1:15" x14ac:dyDescent="0.25">
      <c r="A14" t="s">
        <v>18</v>
      </c>
      <c r="C14" t="s">
        <v>19</v>
      </c>
      <c r="E14" t="s">
        <v>20</v>
      </c>
      <c r="F14">
        <v>1</v>
      </c>
      <c r="H14" t="s">
        <v>21</v>
      </c>
      <c r="I14">
        <v>1.1000000000000001</v>
      </c>
      <c r="K14" t="s">
        <v>22</v>
      </c>
      <c r="L14">
        <v>1.08</v>
      </c>
      <c r="N14" t="s">
        <v>23</v>
      </c>
      <c r="O14">
        <v>1.05</v>
      </c>
    </row>
    <row r="15" spans="1:15" x14ac:dyDescent="0.25">
      <c r="A15" t="s">
        <v>24</v>
      </c>
      <c r="C15" t="s">
        <v>25</v>
      </c>
      <c r="E15" t="s">
        <v>26</v>
      </c>
      <c r="F15">
        <v>1.1499999999999999</v>
      </c>
      <c r="H15" t="s">
        <v>27</v>
      </c>
      <c r="I15">
        <v>1.2</v>
      </c>
      <c r="K15" t="s">
        <v>28</v>
      </c>
      <c r="L15">
        <v>1.1499999999999999</v>
      </c>
      <c r="N15" t="s">
        <v>29</v>
      </c>
      <c r="O15">
        <v>0.95</v>
      </c>
    </row>
    <row r="16" spans="1:15" x14ac:dyDescent="0.25">
      <c r="A16" t="s">
        <v>30</v>
      </c>
      <c r="C16" t="s">
        <v>31</v>
      </c>
      <c r="E16" t="s">
        <v>32</v>
      </c>
      <c r="F16">
        <v>1.3</v>
      </c>
      <c r="N16" t="s">
        <v>33</v>
      </c>
      <c r="O16">
        <v>0.9</v>
      </c>
    </row>
    <row r="17" spans="1:15" x14ac:dyDescent="0.25">
      <c r="A17" t="s">
        <v>34</v>
      </c>
      <c r="C17" t="s">
        <v>35</v>
      </c>
      <c r="N17" t="s">
        <v>36</v>
      </c>
      <c r="O17">
        <v>1.1200000000000001</v>
      </c>
    </row>
    <row r="18" spans="1:15" x14ac:dyDescent="0.25">
      <c r="A18" t="s">
        <v>37</v>
      </c>
    </row>
    <row r="22" spans="1:15" x14ac:dyDescent="0.25">
      <c r="A22" s="1" t="s">
        <v>38</v>
      </c>
      <c r="H22" s="1" t="s">
        <v>39</v>
      </c>
    </row>
    <row r="23" spans="1:15" x14ac:dyDescent="0.25">
      <c r="A23" s="2" t="s">
        <v>40</v>
      </c>
      <c r="B23" s="2" t="s">
        <v>13</v>
      </c>
      <c r="C23" s="2" t="s">
        <v>19</v>
      </c>
      <c r="D23" s="2" t="s">
        <v>25</v>
      </c>
      <c r="E23" s="2" t="s">
        <v>31</v>
      </c>
      <c r="F23" s="2" t="s">
        <v>35</v>
      </c>
      <c r="H23" t="s">
        <v>41</v>
      </c>
      <c r="I23">
        <v>240</v>
      </c>
    </row>
    <row r="24" spans="1:15" x14ac:dyDescent="0.25">
      <c r="A24" t="s">
        <v>12</v>
      </c>
      <c r="B24">
        <v>8</v>
      </c>
      <c r="C24">
        <v>35</v>
      </c>
      <c r="D24">
        <v>55</v>
      </c>
      <c r="E24">
        <v>78</v>
      </c>
      <c r="F24">
        <v>12</v>
      </c>
      <c r="H24" t="s">
        <v>42</v>
      </c>
      <c r="I24">
        <v>180</v>
      </c>
    </row>
    <row r="25" spans="1:15" x14ac:dyDescent="0.25">
      <c r="A25" t="s">
        <v>18</v>
      </c>
      <c r="B25">
        <v>10</v>
      </c>
      <c r="C25">
        <v>38</v>
      </c>
      <c r="D25">
        <v>60</v>
      </c>
      <c r="E25">
        <v>85</v>
      </c>
      <c r="F25">
        <v>14</v>
      </c>
      <c r="H25" t="s">
        <v>43</v>
      </c>
      <c r="I25">
        <v>250</v>
      </c>
    </row>
    <row r="26" spans="1:15" x14ac:dyDescent="0.25">
      <c r="A26" t="s">
        <v>24</v>
      </c>
      <c r="B26">
        <v>9</v>
      </c>
      <c r="C26">
        <v>36</v>
      </c>
      <c r="D26">
        <v>58</v>
      </c>
      <c r="E26">
        <v>82</v>
      </c>
      <c r="F26">
        <v>13</v>
      </c>
      <c r="H26" t="s">
        <v>44</v>
      </c>
      <c r="I26">
        <v>0.08</v>
      </c>
    </row>
    <row r="27" spans="1:15" x14ac:dyDescent="0.25">
      <c r="A27" t="s">
        <v>30</v>
      </c>
      <c r="B27">
        <v>12</v>
      </c>
      <c r="C27">
        <v>42</v>
      </c>
      <c r="D27">
        <v>68</v>
      </c>
      <c r="E27">
        <v>95</v>
      </c>
      <c r="F27">
        <v>16</v>
      </c>
      <c r="H27" t="s">
        <v>45</v>
      </c>
      <c r="I27">
        <v>0.18</v>
      </c>
    </row>
    <row r="28" spans="1:15" x14ac:dyDescent="0.25">
      <c r="A28" t="s">
        <v>34</v>
      </c>
      <c r="B28">
        <v>11</v>
      </c>
      <c r="C28">
        <v>40</v>
      </c>
      <c r="D28">
        <v>65</v>
      </c>
      <c r="E28">
        <v>90</v>
      </c>
      <c r="F28">
        <v>15</v>
      </c>
    </row>
    <row r="29" spans="1:15" x14ac:dyDescent="0.25">
      <c r="A29" t="s">
        <v>37</v>
      </c>
      <c r="B29">
        <v>8</v>
      </c>
      <c r="C29">
        <v>30</v>
      </c>
      <c r="D29">
        <v>48</v>
      </c>
      <c r="E29">
        <v>70</v>
      </c>
      <c r="F29">
        <v>12</v>
      </c>
    </row>
    <row r="32" spans="1:15" x14ac:dyDescent="0.25">
      <c r="H32" s="1" t="s">
        <v>46</v>
      </c>
    </row>
    <row r="33" spans="8:9" x14ac:dyDescent="0.25">
      <c r="H33" s="2" t="s">
        <v>47</v>
      </c>
      <c r="I33" s="2" t="s">
        <v>48</v>
      </c>
    </row>
    <row r="34" spans="8:9" x14ac:dyDescent="0.25">
      <c r="H34" t="s">
        <v>49</v>
      </c>
      <c r="I34">
        <v>0.5</v>
      </c>
    </row>
    <row r="35" spans="8:9" x14ac:dyDescent="0.25">
      <c r="H35" t="s">
        <v>50</v>
      </c>
      <c r="I35">
        <v>0.25</v>
      </c>
    </row>
    <row r="36" spans="8:9" x14ac:dyDescent="0.25">
      <c r="H36" t="s">
        <v>51</v>
      </c>
      <c r="I36">
        <v>0.25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topLeftCell="A4" workbookViewId="0">
      <selection activeCell="G16" sqref="G16:G17"/>
    </sheetView>
  </sheetViews>
  <sheetFormatPr baseColWidth="10" defaultColWidth="9.140625" defaultRowHeight="15" x14ac:dyDescent="0.25"/>
  <cols>
    <col min="1" max="1" width="24" customWidth="1"/>
    <col min="2" max="2" width="22" customWidth="1"/>
    <col min="3" max="3" width="13" customWidth="1"/>
    <col min="4" max="4" width="18" customWidth="1"/>
    <col min="5" max="5" width="4" customWidth="1"/>
    <col min="6" max="6" width="28.85546875" customWidth="1"/>
    <col min="7" max="7" width="20" customWidth="1"/>
    <col min="8" max="8" width="18" customWidth="1"/>
  </cols>
  <sheetData>
    <row r="1" spans="1:8" x14ac:dyDescent="0.25">
      <c r="A1" s="24" t="s">
        <v>52</v>
      </c>
      <c r="B1" s="22"/>
      <c r="C1" s="22"/>
      <c r="D1" s="22"/>
      <c r="E1" s="22"/>
      <c r="F1" s="22"/>
      <c r="G1" s="22"/>
      <c r="H1" s="22"/>
    </row>
    <row r="3" spans="1:8" x14ac:dyDescent="0.25">
      <c r="A3" s="27" t="s">
        <v>53</v>
      </c>
      <c r="B3" s="22"/>
      <c r="C3" s="22"/>
      <c r="D3" s="22"/>
      <c r="F3" s="28" t="s">
        <v>54</v>
      </c>
      <c r="G3" s="22"/>
      <c r="H3" s="22"/>
    </row>
    <row r="4" spans="1:8" ht="21.95" customHeight="1" x14ac:dyDescent="0.25">
      <c r="A4" s="3" t="s">
        <v>55</v>
      </c>
      <c r="B4" s="4"/>
      <c r="F4" s="3" t="s">
        <v>56</v>
      </c>
      <c r="G4" s="5" t="s">
        <v>32</v>
      </c>
    </row>
    <row r="5" spans="1:8" ht="21.95" customHeight="1" x14ac:dyDescent="0.25">
      <c r="A5" s="3" t="s">
        <v>57</v>
      </c>
      <c r="B5" s="4"/>
      <c r="F5" s="3" t="s">
        <v>58</v>
      </c>
      <c r="G5" s="5" t="s">
        <v>27</v>
      </c>
    </row>
    <row r="6" spans="1:8" ht="21.95" customHeight="1" x14ac:dyDescent="0.25">
      <c r="A6" s="3" t="s">
        <v>59</v>
      </c>
      <c r="B6" s="6">
        <f ca="1">TODAY()</f>
        <v>46093</v>
      </c>
      <c r="F6" s="3" t="s">
        <v>60</v>
      </c>
      <c r="G6" s="5" t="s">
        <v>22</v>
      </c>
    </row>
    <row r="7" spans="1:8" ht="21.95" customHeight="1" x14ac:dyDescent="0.25">
      <c r="A7" s="3" t="s">
        <v>40</v>
      </c>
      <c r="B7" s="5" t="s">
        <v>37</v>
      </c>
      <c r="F7" s="3" t="s">
        <v>61</v>
      </c>
      <c r="G7" s="7">
        <v>8.0000000000000002E-3</v>
      </c>
    </row>
    <row r="8" spans="1:8" ht="21.95" customHeight="1" x14ac:dyDescent="0.25">
      <c r="A8" s="3" t="s">
        <v>62</v>
      </c>
      <c r="B8" s="5" t="s">
        <v>25</v>
      </c>
      <c r="F8" s="3" t="s">
        <v>63</v>
      </c>
      <c r="G8" s="7">
        <v>0</v>
      </c>
    </row>
    <row r="9" spans="1:8" ht="21.95" customHeight="1" x14ac:dyDescent="0.25">
      <c r="A9" s="3" t="s">
        <v>64</v>
      </c>
      <c r="B9" s="5">
        <v>160</v>
      </c>
      <c r="F9" s="3" t="s">
        <v>65</v>
      </c>
      <c r="G9" s="8">
        <v>50</v>
      </c>
    </row>
    <row r="10" spans="1:8" ht="21.95" customHeight="1" x14ac:dyDescent="0.25">
      <c r="A10" s="3" t="s">
        <v>66</v>
      </c>
      <c r="B10" s="5" t="s">
        <v>17</v>
      </c>
    </row>
    <row r="11" spans="1:8" ht="21.95" customHeight="1" x14ac:dyDescent="0.25">
      <c r="A11" s="3" t="s">
        <v>67</v>
      </c>
      <c r="B11" s="5" t="s">
        <v>68</v>
      </c>
    </row>
    <row r="12" spans="1:8" ht="21.95" customHeight="1" x14ac:dyDescent="0.25"/>
    <row r="13" spans="1:8" ht="21.95" customHeight="1" x14ac:dyDescent="0.25">
      <c r="A13" s="29" t="s">
        <v>69</v>
      </c>
      <c r="B13" s="22"/>
      <c r="C13" s="22"/>
      <c r="D13" s="22"/>
      <c r="F13" s="26" t="s">
        <v>70</v>
      </c>
      <c r="G13" s="22"/>
      <c r="H13" s="22"/>
    </row>
    <row r="14" spans="1:8" ht="21.95" customHeight="1" x14ac:dyDescent="0.25">
      <c r="A14" s="3" t="s">
        <v>71</v>
      </c>
      <c r="B14" s="5">
        <v>2</v>
      </c>
      <c r="F14" s="3" t="s">
        <v>72</v>
      </c>
      <c r="G14" s="9">
        <f>INDEX('LISTAS + README'!$B$24:$F$29,MATCH(B7,'LISTAS + README'!$A$24:$A$29,0),MATCH(B8,'LISTAS + README'!$B$23:$F$23,0))</f>
        <v>48</v>
      </c>
    </row>
    <row r="15" spans="1:8" ht="21.95" customHeight="1" x14ac:dyDescent="0.25">
      <c r="A15" s="3" t="s">
        <v>73</v>
      </c>
      <c r="B15" s="5">
        <v>3</v>
      </c>
      <c r="F15" s="3" t="s">
        <v>74</v>
      </c>
      <c r="G15" s="9">
        <f>B9*G14</f>
        <v>7680</v>
      </c>
    </row>
    <row r="16" spans="1:8" ht="21.95" customHeight="1" x14ac:dyDescent="0.25">
      <c r="A16" s="3" t="s">
        <v>75</v>
      </c>
      <c r="B16" s="5">
        <v>1</v>
      </c>
      <c r="F16" s="3" t="s">
        <v>76</v>
      </c>
      <c r="G16" s="10">
        <f>VLOOKUP(G4,'LISTAS + README'!$E$13:$F$16,2,FALSE)</f>
        <v>1.3</v>
      </c>
    </row>
    <row r="17" spans="1:7" ht="21.95" customHeight="1" x14ac:dyDescent="0.25">
      <c r="A17" s="3" t="s">
        <v>77</v>
      </c>
      <c r="B17" s="5">
        <v>0</v>
      </c>
      <c r="F17" s="3" t="s">
        <v>78</v>
      </c>
      <c r="G17" s="10">
        <f>VLOOKUP(G5,'LISTAS + README'!$H$13:$I$15,2,FALSE)</f>
        <v>1.2</v>
      </c>
    </row>
    <row r="18" spans="1:7" ht="21.95" customHeight="1" x14ac:dyDescent="0.25">
      <c r="A18" s="3" t="s">
        <v>79</v>
      </c>
      <c r="B18" s="5">
        <v>2</v>
      </c>
      <c r="F18" s="3" t="s">
        <v>80</v>
      </c>
      <c r="G18" s="10">
        <f>VLOOKUP(G6,'LISTAS + README'!$K$13:$L$15,2,FALSE)</f>
        <v>1.08</v>
      </c>
    </row>
    <row r="19" spans="1:7" ht="21.95" customHeight="1" x14ac:dyDescent="0.25">
      <c r="A19" s="3" t="s">
        <v>81</v>
      </c>
      <c r="B19" s="5">
        <v>0</v>
      </c>
      <c r="F19" s="3" t="s">
        <v>82</v>
      </c>
      <c r="G19" s="10">
        <f>VLOOKUP(B10,'LISTAS + README'!$N$13:$O$17,2,FALSE)</f>
        <v>1</v>
      </c>
    </row>
    <row r="20" spans="1:7" ht="21.95" customHeight="1" x14ac:dyDescent="0.25">
      <c r="F20" s="3" t="s">
        <v>83</v>
      </c>
      <c r="G20" s="9">
        <f>G15*G16*G17*G18*G19*(1+G7)*(1-G8)</f>
        <v>13042.778112</v>
      </c>
    </row>
    <row r="21" spans="1:7" ht="21.95" customHeight="1" x14ac:dyDescent="0.25">
      <c r="F21" s="3" t="s">
        <v>84</v>
      </c>
      <c r="G21" s="9">
        <f>B15*'LISTAS + README'!$I$23+B17*'LISTAS + README'!$I$24+B19*'LISTAS + README'!$I$25</f>
        <v>720</v>
      </c>
    </row>
    <row r="22" spans="1:7" ht="21.95" customHeight="1" x14ac:dyDescent="0.25">
      <c r="A22" s="21" t="s">
        <v>85</v>
      </c>
      <c r="B22" s="22"/>
      <c r="C22" s="22"/>
      <c r="D22" s="22"/>
      <c r="F22" s="3" t="s">
        <v>86</v>
      </c>
      <c r="G22" s="9">
        <f>G20+G21</f>
        <v>13762.778112</v>
      </c>
    </row>
    <row r="23" spans="1:7" ht="21.95" customHeight="1" x14ac:dyDescent="0.25">
      <c r="A23" s="11" t="s">
        <v>47</v>
      </c>
      <c r="B23" s="11" t="s">
        <v>48</v>
      </c>
      <c r="C23" s="11" t="s">
        <v>87</v>
      </c>
      <c r="D23" s="11" t="s">
        <v>88</v>
      </c>
      <c r="F23" s="3" t="s">
        <v>45</v>
      </c>
      <c r="G23" s="9">
        <f>IF(B11="Sí",G22*'LISTAS + README'!$I$27,0)</f>
        <v>2477.3000601599997</v>
      </c>
    </row>
    <row r="24" spans="1:7" ht="21.95" customHeight="1" x14ac:dyDescent="0.25">
      <c r="A24" s="12" t="str">
        <f>'LISTAS + README'!H34</f>
        <v>Adelanto</v>
      </c>
      <c r="B24" s="13">
        <f>'LISTAS + README'!I34</f>
        <v>0.5</v>
      </c>
      <c r="C24" s="14">
        <f>$G$24*B24</f>
        <v>8125</v>
      </c>
      <c r="D24" s="12" t="s">
        <v>89</v>
      </c>
      <c r="F24" s="3" t="s">
        <v>90</v>
      </c>
      <c r="G24" s="9">
        <f>MROUND(G22+G23,G9)</f>
        <v>16250</v>
      </c>
    </row>
    <row r="25" spans="1:7" ht="30" x14ac:dyDescent="0.25">
      <c r="A25" s="12" t="str">
        <f>'LISTAS + README'!H35</f>
        <v>Mitad</v>
      </c>
      <c r="B25" s="13">
        <f>'LISTAS + README'!I35</f>
        <v>0.25</v>
      </c>
      <c r="C25" s="14">
        <f>$G$24*B25</f>
        <v>4062.5</v>
      </c>
      <c r="D25" s="12" t="s">
        <v>89</v>
      </c>
      <c r="F25" s="3" t="s">
        <v>91</v>
      </c>
      <c r="G25" s="15" t="str">
        <f>"S/ "&amp;TEXT(G24*(1-'LISTAS + README'!$I$26),"#,##0")&amp;"  a  S/ "&amp;TEXT(G24*(1+'LISTAS + README'!$I$26),"#,##0")</f>
        <v>S/ 14,950  a  S/ 17,550</v>
      </c>
    </row>
    <row r="26" spans="1:7" x14ac:dyDescent="0.25">
      <c r="A26" s="12" t="str">
        <f>'LISTAS + README'!H36</f>
        <v>Entrega</v>
      </c>
      <c r="B26" s="13">
        <f>'LISTAS + README'!I36</f>
        <v>0.25</v>
      </c>
      <c r="C26" s="14">
        <f>$G$24*B26</f>
        <v>4062.5</v>
      </c>
      <c r="D26" s="12" t="s">
        <v>89</v>
      </c>
    </row>
    <row r="38" spans="1:8" x14ac:dyDescent="0.25">
      <c r="A38" s="12" t="s">
        <v>92</v>
      </c>
    </row>
    <row r="39" spans="1:8" x14ac:dyDescent="0.25">
      <c r="A39" s="23" t="s">
        <v>93</v>
      </c>
      <c r="B39" s="22"/>
      <c r="C39" s="22"/>
      <c r="D39" s="22"/>
      <c r="E39" s="22"/>
      <c r="F39" s="22"/>
      <c r="G39" s="22"/>
      <c r="H39" s="22"/>
    </row>
    <row r="40" spans="1:8" x14ac:dyDescent="0.25">
      <c r="A40" s="22"/>
      <c r="B40" s="22"/>
      <c r="C40" s="22"/>
      <c r="D40" s="22"/>
      <c r="E40" s="22"/>
      <c r="F40" s="22"/>
      <c r="G40" s="22"/>
      <c r="H40" s="22"/>
    </row>
  </sheetData>
  <mergeCells count="7">
    <mergeCell ref="A22:D22"/>
    <mergeCell ref="F13:H13"/>
    <mergeCell ref="A39:H40"/>
    <mergeCell ref="A3:D3"/>
    <mergeCell ref="A1:H1"/>
    <mergeCell ref="F3:H3"/>
    <mergeCell ref="A13:D13"/>
  </mergeCells>
  <dataValidations count="7">
    <dataValidation type="list" sqref="B7" xr:uid="{00000000-0002-0000-0100-000000000000}">
      <formula1>TiposProyecto</formula1>
    </dataValidation>
    <dataValidation type="list" sqref="B8" xr:uid="{00000000-0002-0000-0100-000001000000}">
      <formula1>EtapasServicio</formula1>
    </dataValidation>
    <dataValidation type="list" sqref="G4" xr:uid="{00000000-0002-0000-0100-000002000000}">
      <formula1>ComplejidadLista</formula1>
    </dataValidation>
    <dataValidation type="list" sqref="G5" xr:uid="{00000000-0002-0000-0100-000003000000}">
      <formula1>UrgenciaLista</formula1>
    </dataValidation>
    <dataValidation type="list" sqref="G6" xr:uid="{00000000-0002-0000-0100-000004000000}">
      <formula1>ClienteLista</formula1>
    </dataValidation>
    <dataValidation type="list" sqref="B10" xr:uid="{00000000-0002-0000-0100-000005000000}">
      <formula1>ModeloLista</formula1>
    </dataValidation>
    <dataValidation type="list" sqref="B11" xr:uid="{00000000-0002-0000-0100-000006000000}">
      <formula1>"Sí,No"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showGridLines="0" tabSelected="1" topLeftCell="A3" zoomScale="85" zoomScaleNormal="85" workbookViewId="0">
      <selection activeCell="F14" sqref="F14"/>
    </sheetView>
  </sheetViews>
  <sheetFormatPr baseColWidth="10" defaultColWidth="9.140625" defaultRowHeight="15" x14ac:dyDescent="0.25"/>
  <cols>
    <col min="1" max="1" width="24" customWidth="1"/>
    <col min="2" max="2" width="22" customWidth="1"/>
    <col min="3" max="3" width="16" customWidth="1"/>
    <col min="4" max="5" width="18" customWidth="1"/>
    <col min="6" max="6" width="32" customWidth="1"/>
  </cols>
  <sheetData>
    <row r="1" spans="1:6" x14ac:dyDescent="0.25">
      <c r="A1" s="24" t="s">
        <v>94</v>
      </c>
      <c r="B1" s="22"/>
      <c r="C1" s="22"/>
      <c r="D1" s="22"/>
      <c r="E1" s="22"/>
      <c r="F1" s="22"/>
    </row>
    <row r="3" spans="1:6" ht="21.95" customHeight="1" x14ac:dyDescent="0.25">
      <c r="A3" s="3" t="s">
        <v>55</v>
      </c>
      <c r="B3" s="12" t="str">
        <f>IF(CALCULADORA!B4="","",CALCULADORA!B4)</f>
        <v/>
      </c>
      <c r="D3" s="19" t="s">
        <v>109</v>
      </c>
      <c r="E3" s="14">
        <f>CALCULADORA!G24</f>
        <v>16250</v>
      </c>
    </row>
    <row r="4" spans="1:6" x14ac:dyDescent="0.25">
      <c r="A4" s="3" t="s">
        <v>57</v>
      </c>
      <c r="B4" s="12" t="str">
        <f>IF(CALCULADORA!B5="","",CALCULADORA!B5)</f>
        <v/>
      </c>
      <c r="D4" s="3"/>
      <c r="E4" s="12"/>
    </row>
    <row r="5" spans="1:6" ht="21.95" customHeight="1" x14ac:dyDescent="0.25">
      <c r="A5" s="3" t="s">
        <v>59</v>
      </c>
      <c r="B5" s="16">
        <f ca="1">CALCULADORA!B6</f>
        <v>46093</v>
      </c>
      <c r="D5" s="3" t="s">
        <v>95</v>
      </c>
      <c r="E5" s="14">
        <f>CALCULADORA!G14</f>
        <v>48</v>
      </c>
    </row>
    <row r="6" spans="1:6" ht="21.95" customHeight="1" x14ac:dyDescent="0.25">
      <c r="A6" s="3" t="s">
        <v>40</v>
      </c>
      <c r="B6" s="12" t="str">
        <f>CALCULADORA!B7</f>
        <v>Industrial pequeño</v>
      </c>
      <c r="D6" s="3" t="s">
        <v>56</v>
      </c>
      <c r="E6" s="12" t="str">
        <f>CALCULADORA!G4</f>
        <v>Muy alta</v>
      </c>
    </row>
    <row r="7" spans="1:6" x14ac:dyDescent="0.25">
      <c r="A7" s="3" t="s">
        <v>62</v>
      </c>
      <c r="B7" s="20" t="str">
        <f>CALCULADORA!B8</f>
        <v>Proyecto arquitectónico</v>
      </c>
      <c r="D7" s="3" t="s">
        <v>58</v>
      </c>
      <c r="E7" s="12" t="str">
        <f>CALCULADORA!G5</f>
        <v>Urgente</v>
      </c>
    </row>
    <row r="8" spans="1:6" ht="21.95" customHeight="1" x14ac:dyDescent="0.25">
      <c r="A8" s="3" t="s">
        <v>66</v>
      </c>
      <c r="B8" s="12" t="str">
        <f>CALCULADORA!B10</f>
        <v>Suma alzada</v>
      </c>
    </row>
    <row r="9" spans="1:6" ht="21.95" customHeight="1" x14ac:dyDescent="0.25">
      <c r="A9" s="3" t="s">
        <v>96</v>
      </c>
      <c r="B9" s="12" t="str">
        <f>CALCULADORA!B9&amp;" m²"</f>
        <v>160 m²</v>
      </c>
    </row>
    <row r="10" spans="1:6" ht="21.95" customHeight="1" x14ac:dyDescent="0.25"/>
    <row r="11" spans="1:6" ht="21.95" customHeight="1" x14ac:dyDescent="0.25">
      <c r="A11" s="21" t="s">
        <v>97</v>
      </c>
      <c r="B11" s="22"/>
      <c r="C11" s="22"/>
      <c r="D11" s="22"/>
      <c r="E11" s="22"/>
      <c r="F11" s="22"/>
    </row>
    <row r="12" spans="1:6" ht="21.95" customHeight="1" x14ac:dyDescent="0.25">
      <c r="A12" s="11" t="s">
        <v>98</v>
      </c>
      <c r="E12" s="11" t="s">
        <v>87</v>
      </c>
      <c r="F12" s="11" t="s">
        <v>92</v>
      </c>
    </row>
    <row r="13" spans="1:6" ht="21.95" customHeight="1" x14ac:dyDescent="0.25">
      <c r="A13" s="12" t="s">
        <v>74</v>
      </c>
      <c r="E13" s="14">
        <f>CALCULADORA!G15</f>
        <v>7680</v>
      </c>
      <c r="F13" s="12" t="s">
        <v>99</v>
      </c>
    </row>
    <row r="14" spans="1:6" ht="30" x14ac:dyDescent="0.25">
      <c r="A14" s="12" t="s">
        <v>100</v>
      </c>
      <c r="E14" s="14">
        <f>CALCULADORA!G20-CALCULADORA!G15</f>
        <v>5362.778112</v>
      </c>
      <c r="F14" s="12" t="s">
        <v>101</v>
      </c>
    </row>
    <row r="15" spans="1:6" ht="21.95" customHeight="1" x14ac:dyDescent="0.25">
      <c r="A15" s="12" t="s">
        <v>84</v>
      </c>
      <c r="E15" s="14">
        <f>CALCULADORA!G21</f>
        <v>720</v>
      </c>
      <c r="F15" s="12" t="s">
        <v>102</v>
      </c>
    </row>
    <row r="16" spans="1:6" ht="21.95" customHeight="1" x14ac:dyDescent="0.25">
      <c r="A16" s="12" t="s">
        <v>45</v>
      </c>
      <c r="E16" s="14">
        <f>CALCULADORA!G23</f>
        <v>2477.3000601599997</v>
      </c>
      <c r="F16" s="12" t="s">
        <v>103</v>
      </c>
    </row>
    <row r="17" spans="1:6" ht="21.95" customHeight="1" x14ac:dyDescent="0.25">
      <c r="A17" s="12" t="s">
        <v>104</v>
      </c>
      <c r="E17" s="14">
        <f>CALCULADORA!G24</f>
        <v>16250</v>
      </c>
      <c r="F17" s="12" t="s">
        <v>110</v>
      </c>
    </row>
    <row r="18" spans="1:6" ht="21.95" customHeight="1" x14ac:dyDescent="0.25"/>
    <row r="19" spans="1:6" ht="21.95" customHeight="1" x14ac:dyDescent="0.25"/>
    <row r="20" spans="1:6" ht="21.95" customHeight="1" x14ac:dyDescent="0.25">
      <c r="A20" s="21" t="s">
        <v>85</v>
      </c>
      <c r="B20" s="22"/>
      <c r="C20" s="22"/>
      <c r="D20" s="22"/>
      <c r="E20" s="22"/>
      <c r="F20" s="22"/>
    </row>
    <row r="21" spans="1:6" ht="21.95" customHeight="1" x14ac:dyDescent="0.25">
      <c r="A21" s="11" t="s">
        <v>47</v>
      </c>
      <c r="B21" s="11" t="s">
        <v>48</v>
      </c>
      <c r="C21" s="11" t="s">
        <v>87</v>
      </c>
      <c r="D21" s="11" t="s">
        <v>105</v>
      </c>
    </row>
    <row r="22" spans="1:6" ht="21.95" customHeight="1" x14ac:dyDescent="0.25">
      <c r="A22" s="12" t="str">
        <f>CALCULADORA!A24</f>
        <v>Adelanto</v>
      </c>
      <c r="B22" s="13">
        <f>CALCULADORA!B24</f>
        <v>0.5</v>
      </c>
      <c r="C22" s="14">
        <f>CALCULADORA!C24</f>
        <v>8125</v>
      </c>
    </row>
    <row r="23" spans="1:6" ht="21.95" customHeight="1" x14ac:dyDescent="0.25">
      <c r="A23" s="12" t="str">
        <f>CALCULADORA!A25</f>
        <v>Mitad</v>
      </c>
      <c r="B23" s="13">
        <f>CALCULADORA!B25</f>
        <v>0.25</v>
      </c>
      <c r="C23" s="14">
        <f>CALCULADORA!C25</f>
        <v>4062.5</v>
      </c>
    </row>
    <row r="24" spans="1:6" ht="21.95" customHeight="1" x14ac:dyDescent="0.25">
      <c r="A24" s="12" t="str">
        <f>CALCULADORA!A26</f>
        <v>Entrega</v>
      </c>
      <c r="B24" s="13">
        <f>CALCULADORA!B26</f>
        <v>0.25</v>
      </c>
      <c r="C24" s="14">
        <f>CALCULADORA!C26</f>
        <v>4062.5</v>
      </c>
    </row>
    <row r="25" spans="1:6" ht="21.95" customHeight="1" x14ac:dyDescent="0.25"/>
    <row r="26" spans="1:6" ht="21.95" customHeight="1" x14ac:dyDescent="0.25"/>
    <row r="27" spans="1:6" ht="21.95" customHeight="1" x14ac:dyDescent="0.25">
      <c r="A27" s="12" t="s">
        <v>92</v>
      </c>
    </row>
    <row r="28" spans="1:6" ht="21.95" customHeight="1" x14ac:dyDescent="0.25">
      <c r="A28" s="23" t="s">
        <v>106</v>
      </c>
      <c r="B28" s="22"/>
      <c r="C28" s="22"/>
      <c r="D28" s="22"/>
      <c r="E28" s="22"/>
      <c r="F28" s="22"/>
    </row>
    <row r="29" spans="1:6" ht="21.95" customHeight="1" x14ac:dyDescent="0.25">
      <c r="A29" s="22"/>
      <c r="B29" s="22"/>
      <c r="C29" s="22"/>
      <c r="D29" s="22"/>
      <c r="E29" s="22"/>
      <c r="F29" s="22"/>
    </row>
  </sheetData>
  <mergeCells count="4">
    <mergeCell ref="A20:F20"/>
    <mergeCell ref="A28:F29"/>
    <mergeCell ref="A11:F1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LISTAS + README</vt:lpstr>
      <vt:lpstr>CALCULADORA</vt:lpstr>
      <vt:lpstr>PRESENTACION</vt:lpstr>
      <vt:lpstr>ClienteLista</vt:lpstr>
      <vt:lpstr>ComplejidadLista</vt:lpstr>
      <vt:lpstr>EtapasServicio</vt:lpstr>
      <vt:lpstr>ModeloLista</vt:lpstr>
      <vt:lpstr>TablaTarifas</vt:lpstr>
      <vt:lpstr>TiposProyecto</vt:lpstr>
      <vt:lpstr>UrgenciaLista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matteo Uccelli meneses</cp:lastModifiedBy>
  <dcterms:modified xsi:type="dcterms:W3CDTF">2026-03-13T03:56:09Z</dcterms:modified>
</cp:coreProperties>
</file>