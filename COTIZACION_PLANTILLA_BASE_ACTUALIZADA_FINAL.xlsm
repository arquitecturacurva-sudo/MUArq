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MUArq\"/>
    </mc:Choice>
  </mc:AlternateContent>
  <xr:revisionPtr revIDLastSave="0" documentId="13_ncr:1_{75B3B73E-3D43-4D70-80FF-705B39D6FF7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TIZACION (CLIENTE)" sheetId="1" r:id="rId1"/>
    <sheet name="Plantilla de cotización" sheetId="2" r:id="rId2"/>
    <sheet name="MATRIZ DE RIESGO" sheetId="3" r:id="rId3"/>
  </sheets>
  <functionGroups builtInGroupCount="19"/>
  <externalReferences>
    <externalReference r:id="rId4"/>
    <externalReference r:id="rId5"/>
  </externalReferences>
  <definedNames>
    <definedName name="_xlnm.Print_Area" localSheetId="0">'COTIZACION (CLIENTE)'!$A$1:$F$70</definedName>
    <definedName name="TIPO_CAMBIO">'[1]FLUJO DE CAJA'!$AE$4</definedName>
    <definedName name="Tipo_de_Cambio">'[2]Lista de precios'!$X$1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4" i="1" l="1"/>
  <c r="C64" i="1"/>
  <c r="B64" i="1"/>
  <c r="A64" i="1"/>
  <c r="D63" i="1"/>
  <c r="C63" i="1"/>
  <c r="B63" i="1"/>
  <c r="A63" i="1"/>
  <c r="D62" i="1"/>
  <c r="C62" i="1"/>
  <c r="B62" i="1"/>
  <c r="A62" i="1"/>
  <c r="D61" i="1"/>
  <c r="C61" i="1"/>
  <c r="B61" i="1"/>
  <c r="A61" i="1"/>
  <c r="F60" i="1"/>
  <c r="E60" i="1"/>
  <c r="D60" i="1"/>
  <c r="C60" i="1"/>
  <c r="B60" i="1"/>
  <c r="A60" i="1"/>
  <c r="D59" i="1"/>
  <c r="C59" i="1"/>
  <c r="B59" i="1"/>
  <c r="A59" i="1"/>
  <c r="E58" i="1"/>
  <c r="D58" i="1"/>
  <c r="C58" i="1"/>
  <c r="B58" i="1"/>
  <c r="A58" i="1"/>
  <c r="D57" i="1"/>
  <c r="C57" i="1"/>
  <c r="B57" i="1"/>
  <c r="A57" i="1"/>
  <c r="D56" i="1"/>
  <c r="C56" i="1"/>
  <c r="B56" i="1"/>
  <c r="A56" i="1"/>
  <c r="D55" i="1"/>
  <c r="C55" i="1"/>
  <c r="B55" i="1"/>
  <c r="A55" i="1"/>
  <c r="F54" i="1"/>
  <c r="E54" i="1"/>
  <c r="D54" i="1"/>
  <c r="C54" i="1"/>
  <c r="B54" i="1"/>
  <c r="A54" i="1"/>
  <c r="D53" i="1"/>
  <c r="C53" i="1"/>
  <c r="B53" i="1"/>
  <c r="A53" i="1"/>
  <c r="D52" i="1"/>
  <c r="C52" i="1"/>
  <c r="B52" i="1"/>
  <c r="A52" i="1"/>
  <c r="D51" i="1"/>
  <c r="C51" i="1"/>
  <c r="B51" i="1"/>
  <c r="A51" i="1"/>
  <c r="D50" i="1"/>
  <c r="C50" i="1"/>
  <c r="B50" i="1"/>
  <c r="A50" i="1"/>
  <c r="D49" i="1"/>
  <c r="C49" i="1"/>
  <c r="B49" i="1"/>
  <c r="A49" i="1"/>
  <c r="D48" i="1"/>
  <c r="C48" i="1"/>
  <c r="B48" i="1"/>
  <c r="A48" i="1"/>
  <c r="D47" i="1"/>
  <c r="C47" i="1"/>
  <c r="B47" i="1"/>
  <c r="A47" i="1"/>
  <c r="D46" i="1"/>
  <c r="C46" i="1"/>
  <c r="B46" i="1"/>
  <c r="A46" i="1"/>
  <c r="D45" i="1"/>
  <c r="C45" i="1"/>
  <c r="B45" i="1"/>
  <c r="A45" i="1"/>
  <c r="D44" i="1"/>
  <c r="C44" i="1"/>
  <c r="B44" i="1"/>
  <c r="A44" i="1"/>
  <c r="D43" i="1"/>
  <c r="C43" i="1"/>
  <c r="B43" i="1"/>
  <c r="A43" i="1"/>
  <c r="D42" i="1"/>
  <c r="C42" i="1"/>
  <c r="B42" i="1"/>
  <c r="A42" i="1"/>
  <c r="D41" i="1"/>
  <c r="C41" i="1"/>
  <c r="B41" i="1"/>
  <c r="A41" i="1"/>
  <c r="D40" i="1"/>
  <c r="C40" i="1"/>
  <c r="B40" i="1"/>
  <c r="A40" i="1"/>
  <c r="D39" i="1"/>
  <c r="C39" i="1"/>
  <c r="B39" i="1"/>
  <c r="A39" i="1"/>
  <c r="D38" i="1"/>
  <c r="C38" i="1"/>
  <c r="B38" i="1"/>
  <c r="A38" i="1"/>
  <c r="D37" i="1"/>
  <c r="C37" i="1"/>
  <c r="B37" i="1"/>
  <c r="A37" i="1"/>
  <c r="D36" i="1"/>
  <c r="C36" i="1"/>
  <c r="B36" i="1"/>
  <c r="A36" i="1"/>
  <c r="F35" i="1"/>
  <c r="E35" i="1"/>
  <c r="D35" i="1"/>
  <c r="C35" i="1"/>
  <c r="B35" i="1"/>
  <c r="A35" i="1"/>
  <c r="D34" i="1"/>
  <c r="C34" i="1"/>
  <c r="B34" i="1"/>
  <c r="A34" i="1"/>
  <c r="D33" i="1"/>
  <c r="C33" i="1"/>
  <c r="B33" i="1"/>
  <c r="A33" i="1"/>
  <c r="D32" i="1"/>
  <c r="C32" i="1"/>
  <c r="B32" i="1"/>
  <c r="A32" i="1"/>
  <c r="D31" i="1"/>
  <c r="C31" i="1"/>
  <c r="B31" i="1"/>
  <c r="A31" i="1"/>
  <c r="D30" i="1"/>
  <c r="C30" i="1"/>
  <c r="B30" i="1"/>
  <c r="A30" i="1"/>
  <c r="D29" i="1"/>
  <c r="C29" i="1"/>
  <c r="B29" i="1"/>
  <c r="A29" i="1"/>
  <c r="B2" i="1"/>
  <c r="R59" i="2"/>
  <c r="P54" i="2"/>
  <c r="O54" i="2"/>
  <c r="M53" i="2"/>
  <c r="N53" i="2" s="1"/>
  <c r="S60" i="2" s="1"/>
  <c r="L53" i="2"/>
  <c r="Q53" i="2" s="1"/>
  <c r="Q52" i="2"/>
  <c r="R52" i="2" s="1"/>
  <c r="M52" i="2"/>
  <c r="N52" i="2" s="1"/>
  <c r="L52" i="2"/>
  <c r="M51" i="2"/>
  <c r="N51" i="2" s="1"/>
  <c r="L51" i="2"/>
  <c r="Q51" i="2" s="1"/>
  <c r="M50" i="2"/>
  <c r="N50" i="2" s="1"/>
  <c r="L50" i="2"/>
  <c r="Q50" i="2" s="1"/>
  <c r="M48" i="2"/>
  <c r="N48" i="2" s="1"/>
  <c r="L48" i="2"/>
  <c r="Q48" i="2" s="1"/>
  <c r="Q47" i="2"/>
  <c r="F47" i="2" s="1"/>
  <c r="G47" i="2" s="1"/>
  <c r="M47" i="2"/>
  <c r="N47" i="2" s="1"/>
  <c r="L47" i="2"/>
  <c r="M46" i="2"/>
  <c r="L46" i="2"/>
  <c r="Q46" i="2" s="1"/>
  <c r="M45" i="2"/>
  <c r="N45" i="2" s="1"/>
  <c r="L45" i="2"/>
  <c r="Q45" i="2" s="1"/>
  <c r="M44" i="2"/>
  <c r="N44" i="2" s="1"/>
  <c r="L44" i="2"/>
  <c r="Q44" i="2" s="1"/>
  <c r="M42" i="2"/>
  <c r="N42" i="2" s="1"/>
  <c r="L42" i="2"/>
  <c r="Q42" i="2" s="1"/>
  <c r="Q41" i="2"/>
  <c r="R41" i="2" s="1"/>
  <c r="N41" i="2"/>
  <c r="M41" i="2"/>
  <c r="L41" i="2"/>
  <c r="M40" i="2"/>
  <c r="N40" i="2" s="1"/>
  <c r="L40" i="2"/>
  <c r="Q40" i="2" s="1"/>
  <c r="M39" i="2"/>
  <c r="N39" i="2" s="1"/>
  <c r="L39" i="2"/>
  <c r="Q39" i="2" s="1"/>
  <c r="Q38" i="2"/>
  <c r="R38" i="2" s="1"/>
  <c r="M38" i="2"/>
  <c r="N38" i="2" s="1"/>
  <c r="L38" i="2"/>
  <c r="M37" i="2"/>
  <c r="N37" i="2" s="1"/>
  <c r="L37" i="2"/>
  <c r="Q37" i="2" s="1"/>
  <c r="Q36" i="2"/>
  <c r="E47" i="1" s="1"/>
  <c r="N36" i="2"/>
  <c r="M36" i="2"/>
  <c r="L36" i="2"/>
  <c r="M35" i="2"/>
  <c r="N35" i="2" s="1"/>
  <c r="L35" i="2"/>
  <c r="Q35" i="2" s="1"/>
  <c r="M34" i="2"/>
  <c r="N34" i="2" s="1"/>
  <c r="L34" i="2"/>
  <c r="Q34" i="2" s="1"/>
  <c r="Q33" i="2"/>
  <c r="E44" i="1" s="1"/>
  <c r="M33" i="2"/>
  <c r="N33" i="2" s="1"/>
  <c r="L33" i="2"/>
  <c r="M32" i="2"/>
  <c r="N32" i="2" s="1"/>
  <c r="L32" i="2"/>
  <c r="Q32" i="2" s="1"/>
  <c r="Q31" i="2"/>
  <c r="F31" i="2" s="1"/>
  <c r="G31" i="2" s="1"/>
  <c r="N31" i="2"/>
  <c r="M31" i="2"/>
  <c r="L31" i="2"/>
  <c r="M30" i="2"/>
  <c r="N30" i="2" s="1"/>
  <c r="L30" i="2"/>
  <c r="Q30" i="2" s="1"/>
  <c r="M29" i="2"/>
  <c r="N29" i="2" s="1"/>
  <c r="L29" i="2"/>
  <c r="Q29" i="2" s="1"/>
  <c r="Q28" i="2"/>
  <c r="R28" i="2" s="1"/>
  <c r="M28" i="2"/>
  <c r="N28" i="2" s="1"/>
  <c r="L28" i="2"/>
  <c r="M27" i="2"/>
  <c r="N27" i="2" s="1"/>
  <c r="L27" i="2"/>
  <c r="Q27" i="2" s="1"/>
  <c r="Q26" i="2"/>
  <c r="F26" i="2" s="1"/>
  <c r="G26" i="2" s="1"/>
  <c r="N26" i="2"/>
  <c r="M26" i="2"/>
  <c r="L26" i="2"/>
  <c r="M25" i="2"/>
  <c r="N25" i="2" s="1"/>
  <c r="L25" i="2"/>
  <c r="Q25" i="2" s="1"/>
  <c r="M23" i="2"/>
  <c r="N23" i="2" s="1"/>
  <c r="L23" i="2"/>
  <c r="Q23" i="2" s="1"/>
  <c r="Q22" i="2"/>
  <c r="R22" i="2" s="1"/>
  <c r="N22" i="2"/>
  <c r="M22" i="2"/>
  <c r="L22" i="2"/>
  <c r="M21" i="2"/>
  <c r="N21" i="2" s="1"/>
  <c r="L21" i="2"/>
  <c r="Q21" i="2" s="1"/>
  <c r="Q20" i="2"/>
  <c r="F20" i="2" s="1"/>
  <c r="G20" i="2" s="1"/>
  <c r="M20" i="2"/>
  <c r="L20" i="2"/>
  <c r="N20" i="2" s="1"/>
  <c r="M19" i="2"/>
  <c r="N19" i="2" s="1"/>
  <c r="L19" i="2"/>
  <c r="Q19" i="2" s="1"/>
  <c r="M18" i="2"/>
  <c r="N18" i="2" s="1"/>
  <c r="L18" i="2"/>
  <c r="Q18" i="2" s="1"/>
  <c r="R34" i="2" l="1"/>
  <c r="E45" i="1"/>
  <c r="F34" i="2"/>
  <c r="G34" i="2" s="1"/>
  <c r="S52" i="2"/>
  <c r="F63" i="1"/>
  <c r="E64" i="1"/>
  <c r="F53" i="2"/>
  <c r="G53" i="2" s="1"/>
  <c r="R53" i="2"/>
  <c r="E38" i="1"/>
  <c r="F27" i="2"/>
  <c r="G27" i="2" s="1"/>
  <c r="R27" i="2"/>
  <c r="R44" i="2"/>
  <c r="E55" i="1"/>
  <c r="F44" i="2"/>
  <c r="G44" i="2" s="1"/>
  <c r="S28" i="2"/>
  <c r="F39" i="1"/>
  <c r="E40" i="1"/>
  <c r="R29" i="2"/>
  <c r="F29" i="2"/>
  <c r="G29" i="2" s="1"/>
  <c r="R46" i="2"/>
  <c r="E57" i="1"/>
  <c r="F46" i="2"/>
  <c r="G46" i="2" s="1"/>
  <c r="R21" i="2"/>
  <c r="E32" i="1"/>
  <c r="F21" i="2"/>
  <c r="G21" i="2" s="1"/>
  <c r="F37" i="2"/>
  <c r="G37" i="2" s="1"/>
  <c r="E48" i="1"/>
  <c r="R37" i="2"/>
  <c r="S41" i="2"/>
  <c r="F52" i="1"/>
  <c r="F18" i="2"/>
  <c r="G18" i="2" s="1"/>
  <c r="R18" i="2"/>
  <c r="E29" i="1"/>
  <c r="F42" i="2"/>
  <c r="G42" i="2" s="1"/>
  <c r="E53" i="1"/>
  <c r="R42" i="2"/>
  <c r="S59" i="2"/>
  <c r="S62" i="2" s="1"/>
  <c r="N54" i="2"/>
  <c r="R35" i="2"/>
  <c r="E46" i="1"/>
  <c r="F35" i="2"/>
  <c r="G35" i="2" s="1"/>
  <c r="S61" i="2"/>
  <c r="E30" i="1"/>
  <c r="R19" i="2"/>
  <c r="F19" i="2"/>
  <c r="G19" i="2" s="1"/>
  <c r="E56" i="1"/>
  <c r="R45" i="2"/>
  <c r="F45" i="2"/>
  <c r="G45" i="2" s="1"/>
  <c r="E41" i="1"/>
  <c r="R30" i="2"/>
  <c r="F30" i="2"/>
  <c r="G30" i="2" s="1"/>
  <c r="S38" i="2"/>
  <c r="F49" i="1"/>
  <c r="R48" i="2"/>
  <c r="E59" i="1"/>
  <c r="F48" i="2"/>
  <c r="G48" i="2" s="1"/>
  <c r="S22" i="2"/>
  <c r="F33" i="1"/>
  <c r="E50" i="1"/>
  <c r="R39" i="2"/>
  <c r="F39" i="2"/>
  <c r="G39" i="2" s="1"/>
  <c r="E34" i="1"/>
  <c r="F23" i="2"/>
  <c r="G23" i="2" s="1"/>
  <c r="R23" i="2"/>
  <c r="E61" i="1"/>
  <c r="R50" i="2"/>
  <c r="F50" i="2"/>
  <c r="G50" i="2" s="1"/>
  <c r="F32" i="2"/>
  <c r="G32" i="2" s="1"/>
  <c r="E43" i="1"/>
  <c r="R32" i="2"/>
  <c r="R40" i="2"/>
  <c r="F40" i="2"/>
  <c r="G40" i="2" s="1"/>
  <c r="E51" i="1"/>
  <c r="R25" i="2"/>
  <c r="E36" i="1"/>
  <c r="F25" i="2"/>
  <c r="G25" i="2" s="1"/>
  <c r="E62" i="1"/>
  <c r="R51" i="2"/>
  <c r="F51" i="2"/>
  <c r="G51" i="2" s="1"/>
  <c r="E31" i="1"/>
  <c r="E39" i="1"/>
  <c r="E49" i="1"/>
  <c r="E63" i="1"/>
  <c r="R20" i="2"/>
  <c r="R31" i="2"/>
  <c r="R36" i="2"/>
  <c r="R47" i="2"/>
  <c r="E42" i="1"/>
  <c r="E52" i="1"/>
  <c r="F52" i="2"/>
  <c r="G52" i="2" s="1"/>
  <c r="F22" i="2"/>
  <c r="G22" i="2" s="1"/>
  <c r="F28" i="2"/>
  <c r="G28" i="2" s="1"/>
  <c r="F33" i="2"/>
  <c r="G33" i="2" s="1"/>
  <c r="F38" i="2"/>
  <c r="G38" i="2" s="1"/>
  <c r="N46" i="2"/>
  <c r="E33" i="1"/>
  <c r="R26" i="2"/>
  <c r="F36" i="2"/>
  <c r="G36" i="2" s="1"/>
  <c r="F41" i="2"/>
  <c r="G41" i="2" s="1"/>
  <c r="E37" i="1"/>
  <c r="R33" i="2"/>
  <c r="H43" i="2" l="1"/>
  <c r="S18" i="2"/>
  <c r="F29" i="1"/>
  <c r="R54" i="2"/>
  <c r="F51" i="1"/>
  <c r="S40" i="2"/>
  <c r="H17" i="2"/>
  <c r="H54" i="2" s="1"/>
  <c r="H55" i="2" s="1"/>
  <c r="S27" i="2"/>
  <c r="F38" i="1"/>
  <c r="F57" i="1"/>
  <c r="S46" i="2"/>
  <c r="S51" i="2"/>
  <c r="F62" i="1"/>
  <c r="F37" i="1"/>
  <c r="S26" i="2"/>
  <c r="H24" i="2"/>
  <c r="F53" i="1"/>
  <c r="S42" i="2"/>
  <c r="S25" i="2"/>
  <c r="F36" i="1"/>
  <c r="S48" i="2"/>
  <c r="F59" i="1"/>
  <c r="S44" i="2"/>
  <c r="F55" i="1"/>
  <c r="F43" i="1"/>
  <c r="S32" i="2"/>
  <c r="F41" i="1"/>
  <c r="S30" i="2"/>
  <c r="H49" i="2"/>
  <c r="F30" i="1"/>
  <c r="S19" i="2"/>
  <c r="S21" i="2"/>
  <c r="F32" i="1"/>
  <c r="F50" i="1"/>
  <c r="S39" i="2"/>
  <c r="M5" i="2"/>
  <c r="N55" i="2"/>
  <c r="N56" i="2" s="1"/>
  <c r="F47" i="1"/>
  <c r="S36" i="2"/>
  <c r="F42" i="1"/>
  <c r="S31" i="2"/>
  <c r="F34" i="1"/>
  <c r="S23" i="2"/>
  <c r="S35" i="2"/>
  <c r="F46" i="1"/>
  <c r="S29" i="2"/>
  <c r="F40" i="1"/>
  <c r="S37" i="2"/>
  <c r="F48" i="1"/>
  <c r="F64" i="1"/>
  <c r="S53" i="2"/>
  <c r="F58" i="1"/>
  <c r="S47" i="2"/>
  <c r="F56" i="1"/>
  <c r="S45" i="2"/>
  <c r="F61" i="1"/>
  <c r="S50" i="2"/>
  <c r="F31" i="1"/>
  <c r="S20" i="2"/>
  <c r="F44" i="1"/>
  <c r="S33" i="2"/>
  <c r="F45" i="1"/>
  <c r="S34" i="2"/>
  <c r="F66" i="1" l="1"/>
  <c r="R55" i="2"/>
  <c r="M4" i="2"/>
  <c r="M6" i="2" s="1"/>
  <c r="N6" i="2" s="1"/>
  <c r="S54" i="2"/>
  <c r="H56" i="2" s="1"/>
  <c r="H57" i="2" s="1"/>
  <c r="F67" i="1" l="1"/>
  <c r="R56" i="2"/>
  <c r="F68" i="1" s="1"/>
  <c r="N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Rebosy</author>
  </authors>
  <commentList>
    <comment ref="L1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Rebosy:
No incluye IGV</t>
        </r>
      </text>
    </comment>
  </commentList>
</comments>
</file>

<file path=xl/sharedStrings.xml><?xml version="1.0" encoding="utf-8"?>
<sst xmlns="http://schemas.openxmlformats.org/spreadsheetml/2006/main" count="143" uniqueCount="94">
  <si>
    <t>(Editar y enviar al cliente desde: COTIZACION (CLIENTE))</t>
  </si>
  <si>
    <t>Precio</t>
  </si>
  <si>
    <t>Costo</t>
  </si>
  <si>
    <t>Utilidad</t>
  </si>
  <si>
    <t>COTIZACION 023-01-1201</t>
  </si>
  <si>
    <t>COD.</t>
  </si>
  <si>
    <t>DESCRIPCION</t>
  </si>
  <si>
    <t>UND</t>
  </si>
  <si>
    <t>CANT.</t>
  </si>
  <si>
    <t>PRECIO UNITARIO</t>
  </si>
  <si>
    <t>PARCIAL</t>
  </si>
  <si>
    <t>TOTALES</t>
  </si>
  <si>
    <t>Proveedor</t>
  </si>
  <si>
    <t>MANO DE OBRA</t>
  </si>
  <si>
    <t xml:space="preserve">MATERIALES </t>
  </si>
  <si>
    <t>COSTO UNITARIO</t>
  </si>
  <si>
    <t>CANTIDAD</t>
  </si>
  <si>
    <t>SUB-TOTAL</t>
  </si>
  <si>
    <t>% UTIL</t>
  </si>
  <si>
    <t>%RIESGO</t>
  </si>
  <si>
    <t>TOTAL</t>
  </si>
  <si>
    <t>UTILIDAD UNITARIA</t>
  </si>
  <si>
    <t>PARTIDA</t>
  </si>
  <si>
    <t>GLB</t>
  </si>
  <si>
    <t>SODIMAC</t>
  </si>
  <si>
    <t>M3</t>
  </si>
  <si>
    <t>M2</t>
  </si>
  <si>
    <t>DIA</t>
  </si>
  <si>
    <t>ML</t>
  </si>
  <si>
    <t>X</t>
  </si>
  <si>
    <t xml:space="preserve">OBSERVACIONES:  </t>
  </si>
  <si>
    <t xml:space="preserve"> Sub Total </t>
  </si>
  <si>
    <t>G.Generales</t>
  </si>
  <si>
    <t xml:space="preserve"> IGV </t>
  </si>
  <si>
    <t xml:space="preserve"> Total </t>
  </si>
  <si>
    <t>correo@correo.com</t>
  </si>
  <si>
    <t>COSTOS</t>
  </si>
  <si>
    <t>Total</t>
  </si>
  <si>
    <t>COTIZACIÓN</t>
  </si>
  <si>
    <t>Cód.</t>
  </si>
  <si>
    <t>Fecha</t>
  </si>
  <si>
    <t>DATOS DEL CLIENTE Y PROYECTO</t>
  </si>
  <si>
    <t>Cliente</t>
  </si>
  <si>
    <t>Versión</t>
  </si>
  <si>
    <t>Proyecto</t>
  </si>
  <si>
    <t>Vigencia</t>
  </si>
  <si>
    <t>Ubicación</t>
  </si>
  <si>
    <t>Resp.</t>
  </si>
  <si>
    <t>Moneda</t>
  </si>
  <si>
    <t>Contacto</t>
  </si>
  <si>
    <t>ALCANCE</t>
  </si>
  <si>
    <t>ENTREGABLES</t>
  </si>
  <si>
    <t>EXCLUSIONES Y SUPUESTOS</t>
  </si>
  <si>
    <t>CONDICIONES COMERCIALES (FORMA DE PAGO / PLAZOS / VIGENCIA)</t>
  </si>
  <si>
    <t>OBSERVACIONES</t>
  </si>
  <si>
    <t>RESUMEN ECONÓMICO</t>
  </si>
  <si>
    <t>Ítem</t>
  </si>
  <si>
    <t>Descripción</t>
  </si>
  <si>
    <t>Und</t>
  </si>
  <si>
    <t>Cant.</t>
  </si>
  <si>
    <t>P. Unit.</t>
  </si>
  <si>
    <t>Subtotal</t>
  </si>
  <si>
    <t>SUBTOTAL</t>
  </si>
  <si>
    <t>IGV (18%)</t>
  </si>
  <si>
    <t>Nota: Esta cotización se emite bajo el alcance, supuestos y exclusiones indicados arriba. Cambios de alcance se consideran adicionales.</t>
  </si>
  <si>
    <t>SEVERIDAD / IMPACTO</t>
  </si>
  <si>
    <t>RIESGOS</t>
  </si>
  <si>
    <t>PROBABILIDAD</t>
  </si>
  <si>
    <t>IMPACTO</t>
  </si>
  <si>
    <t>MITIGACIÓN</t>
  </si>
  <si>
    <t>BAJO</t>
  </si>
  <si>
    <t>MEDIO</t>
  </si>
  <si>
    <t>ALTO</t>
  </si>
  <si>
    <t>Descripcion de un riesgo específico</t>
  </si>
  <si>
    <t>Chance de que suceda el riesgo</t>
  </si>
  <si>
    <t>Severidad de que suceda el riesgo</t>
  </si>
  <si>
    <t xml:space="preserve">Solucion a que el riesgo haya sucedido o metodo de prevención </t>
  </si>
  <si>
    <t>trivial</t>
  </si>
  <si>
    <t>Tolerable</t>
  </si>
  <si>
    <t>Moderado</t>
  </si>
  <si>
    <t>Riesgo 1</t>
  </si>
  <si>
    <t>Media</t>
  </si>
  <si>
    <t>Alta</t>
  </si>
  <si>
    <t>Solucion 1</t>
  </si>
  <si>
    <t>Alto</t>
  </si>
  <si>
    <t>Riesgo 2</t>
  </si>
  <si>
    <t>Baja</t>
  </si>
  <si>
    <t>Solucion 2</t>
  </si>
  <si>
    <t>Muy Alto</t>
  </si>
  <si>
    <t>Riesgo 3</t>
  </si>
  <si>
    <t>Solucion 3</t>
  </si>
  <si>
    <t>Riesgo 4</t>
  </si>
  <si>
    <t>Bajo</t>
  </si>
  <si>
    <t>Solucion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</si>
</sst>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-* #,##0.00_-;\-* #,##0.00_-;_-* &quot;-&quot;??_-;_-@_-"/>
    <numFmt numFmtId="165" formatCode="_ * #,##0.00_ ;_ * \-#,##0.00_ ;_ * &quot;-&quot;??_ ;_ @_ "/>
    <numFmt numFmtId="166" formatCode="_ * #,##0_ ;_ * \-#,##0_ ;_ * &quot;-&quot;??_ ;_ @_ "/>
    <numFmt numFmtId="167" formatCode="_-[$S/-280A]\ * #,##0.00_-;\-[$S/-280A]\ * #,##0.00_-;_-[$S/-280A]\ * &quot;-&quot;??_-;_-@_-"/>
    <numFmt numFmtId="168" formatCode="0.##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Times New Roman"/>
      <family val="1"/>
    </font>
    <font>
      <b/>
      <sz val="9"/>
      <color rgb="FF0070C0"/>
      <name val="Times New Roman"/>
      <family val="1"/>
    </font>
    <font>
      <sz val="11"/>
      <color rgb="FF000000"/>
      <name val="Calibri"/>
      <family val="2"/>
    </font>
    <font>
      <sz val="8"/>
      <color rgb="FF000000"/>
      <name val="Microsoft Sans Serif"/>
      <family val="2"/>
    </font>
    <font>
      <b/>
      <sz val="12"/>
      <name val="Times New Roman"/>
      <family val="1"/>
    </font>
    <font>
      <sz val="11"/>
      <color rgb="FF000000"/>
      <name val="Bahnschrift"/>
      <family val="2"/>
    </font>
    <font>
      <b/>
      <sz val="9"/>
      <name val="Bahnschrift"/>
      <family val="2"/>
    </font>
    <font>
      <sz val="9"/>
      <color rgb="FF000000"/>
      <name val="Bahnschrift"/>
      <family val="2"/>
    </font>
    <font>
      <b/>
      <sz val="10"/>
      <name val="Bahnschrift"/>
      <family val="2"/>
    </font>
    <font>
      <b/>
      <sz val="9"/>
      <name val="Aileron Black"/>
      <family val="3"/>
    </font>
    <font>
      <b/>
      <sz val="9"/>
      <color rgb="FF000000"/>
      <name val="Aileron Black"/>
      <family val="3"/>
    </font>
    <font>
      <b/>
      <sz val="12"/>
      <name val="Aileron Bold"/>
      <family val="3"/>
    </font>
    <font>
      <b/>
      <sz val="10"/>
      <name val="Aileron Black"/>
      <family val="3"/>
    </font>
    <font>
      <sz val="9"/>
      <name val="Aileron"/>
      <family val="3"/>
    </font>
    <font>
      <b/>
      <sz val="9"/>
      <color rgb="FF000000"/>
      <name val="Aileron"/>
      <family val="3"/>
    </font>
    <font>
      <sz val="11"/>
      <color theme="1"/>
      <name val="Aileron"/>
      <family val="3"/>
    </font>
    <font>
      <sz val="11"/>
      <color theme="1"/>
      <name val="Bahnschrift"/>
      <family val="2"/>
    </font>
    <font>
      <sz val="11"/>
      <name val="Bahnschrift"/>
      <family val="2"/>
    </font>
    <font>
      <i/>
      <sz val="11"/>
      <name val="Bahnschrift"/>
      <family val="2"/>
    </font>
    <font>
      <b/>
      <sz val="11"/>
      <color theme="1"/>
      <name val="Aileron"/>
      <family val="3"/>
    </font>
    <font>
      <u/>
      <sz val="11"/>
      <color theme="10"/>
      <name val="Calibri"/>
      <family val="2"/>
      <scheme val="minor"/>
    </font>
    <font>
      <sz val="11"/>
      <color theme="1"/>
      <name val="Aileron Black"/>
      <family val="3"/>
    </font>
    <font>
      <b/>
      <sz val="11"/>
      <color theme="1"/>
      <name val="Bahnschrift"/>
      <family val="2"/>
    </font>
    <font>
      <b/>
      <sz val="11"/>
      <name val="Bahnschrift"/>
      <family val="2"/>
    </font>
    <font>
      <b/>
      <sz val="14"/>
      <name val="Bahnschrift"/>
      <family val="2"/>
    </font>
    <font>
      <b/>
      <sz val="16"/>
      <color theme="1"/>
      <name val="Aileron Bold"/>
      <family val="3"/>
    </font>
    <font>
      <sz val="11"/>
      <color theme="1"/>
      <name val="Aileron Heavy"/>
      <family val="3"/>
    </font>
    <font>
      <b/>
      <sz val="11"/>
      <color rgb="FFC00000"/>
      <name val="Aileron Black"/>
      <family val="3"/>
    </font>
    <font>
      <b/>
      <sz val="11"/>
      <color rgb="FFFF0000"/>
      <name val="Aileron Black"/>
      <family val="3"/>
    </font>
    <font>
      <b/>
      <sz val="11"/>
      <color rgb="FFFFC000"/>
      <name val="Aileron Black"/>
      <family val="3"/>
    </font>
    <font>
      <b/>
      <sz val="11"/>
      <color rgb="FF92D050"/>
      <name val="Aileron Black"/>
      <family val="3"/>
    </font>
    <font>
      <b/>
      <sz val="16"/>
      <color rgb="FFFFFFFF"/>
      <name val="Calibri"/>
    </font>
    <font>
      <b/>
      <sz val="10"/>
      <color rgb="FF1F3A3D"/>
      <name val="Calibri"/>
    </font>
    <font>
      <sz val="10"/>
      <color rgb="FF1E1E1E"/>
      <name val="Calibri"/>
    </font>
    <font>
      <sz val="10"/>
      <color rgb="FF1F4E79"/>
      <name val="Calibri"/>
    </font>
    <font>
      <b/>
      <sz val="11"/>
      <color rgb="FFFFFFFF"/>
      <name val="Calibri"/>
    </font>
    <font>
      <b/>
      <sz val="10"/>
      <color rgb="FFFFFFFF"/>
      <name val="Calibri"/>
    </font>
    <font>
      <b/>
      <sz val="10"/>
      <name val="Calibri"/>
    </font>
    <font>
      <b/>
      <sz val="10"/>
      <color rgb="FF466266"/>
      <name val="Calibri"/>
    </font>
    <font>
      <i/>
      <sz val="9"/>
      <color rgb="FF466266"/>
      <name val="Calibri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1F3A3D"/>
      </patternFill>
    </fill>
    <fill>
      <patternFill patternType="solid">
        <fgColor rgb="FFEAF0F0"/>
      </patternFill>
    </fill>
    <fill>
      <patternFill patternType="solid">
        <fgColor rgb="FFFFFFFF"/>
      </patternFill>
    </fill>
    <fill>
      <patternFill patternType="solid">
        <fgColor rgb="FF466266"/>
      </patternFill>
    </fill>
    <fill>
      <patternFill patternType="solid">
        <fgColor rgb="FFF7FAFA"/>
      </patternFill>
    </fill>
    <fill>
      <patternFill patternType="solid">
        <fgColor rgb="FFFFF2CC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A7B5B6"/>
      </left>
      <right style="thin">
        <color rgb="FFA7B5B6"/>
      </right>
      <top style="thin">
        <color rgb="FFA7B5B6"/>
      </top>
      <bottom style="thin">
        <color rgb="FFA7B5B6"/>
      </bottom>
      <diagonal/>
    </border>
    <border>
      <left style="medium">
        <color rgb="FF1F3A3D"/>
      </left>
      <right style="medium">
        <color rgb="FF1F3A3D"/>
      </right>
      <top style="medium">
        <color rgb="FF1F3A3D"/>
      </top>
      <bottom style="medium">
        <color rgb="FF1F3A3D"/>
      </bottom>
      <diagonal/>
    </border>
    <border>
      <left/>
      <right style="thin">
        <color rgb="FFA7B5B6"/>
      </right>
      <top style="thin">
        <color rgb="FFA7B5B6"/>
      </top>
      <bottom style="thin">
        <color rgb="FFA7B5B6"/>
      </bottom>
      <diagonal/>
    </border>
    <border>
      <left/>
      <right/>
      <top style="medium">
        <color rgb="FF1F3A3D"/>
      </top>
      <bottom/>
      <diagonal/>
    </border>
    <border>
      <left style="medium">
        <color rgb="FF1F3A3D"/>
      </left>
      <right/>
      <top/>
      <bottom/>
      <diagonal/>
    </border>
    <border>
      <left/>
      <right style="medium">
        <color rgb="FF1F3A3D"/>
      </right>
      <top style="medium">
        <color rgb="FF1F3A3D"/>
      </top>
      <bottom/>
      <diagonal/>
    </border>
    <border>
      <left/>
      <right style="medium">
        <color rgb="FF1F3A3D"/>
      </right>
      <top/>
      <bottom/>
      <diagonal/>
    </border>
    <border>
      <left style="medium">
        <color rgb="FF1F3A3D"/>
      </left>
      <right/>
      <top/>
      <bottom style="medium">
        <color rgb="FF1F3A3D"/>
      </bottom>
      <diagonal/>
    </border>
    <border>
      <left/>
      <right/>
      <top/>
      <bottom style="medium">
        <color rgb="FF1F3A3D"/>
      </bottom>
      <diagonal/>
    </border>
    <border>
      <left/>
      <right style="medium">
        <color rgb="FF1F3A3D"/>
      </right>
      <top/>
      <bottom style="medium">
        <color rgb="FF1F3A3D"/>
      </bottom>
      <diagonal/>
    </border>
  </borders>
  <cellStyleXfs count="4">
    <xf numFmtId="0" fontId="0" fillId="0" borderId="0"/>
    <xf numFmtId="9" fontId="1" fillId="0" borderId="0"/>
    <xf numFmtId="165" fontId="1" fillId="0" borderId="0"/>
    <xf numFmtId="0" fontId="22" fillId="0" borderId="0"/>
  </cellStyleXfs>
  <cellXfs count="26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64" fontId="0" fillId="0" borderId="0" xfId="0" applyNumberFormat="1"/>
    <xf numFmtId="0" fontId="0" fillId="0" borderId="0" xfId="0" applyAlignment="1">
      <alignment vertical="center"/>
    </xf>
    <xf numFmtId="165" fontId="0" fillId="0" borderId="0" xfId="2" applyFont="1" applyAlignment="1">
      <alignment vertical="center"/>
    </xf>
    <xf numFmtId="165" fontId="0" fillId="0" borderId="0" xfId="2" applyFont="1"/>
    <xf numFmtId="165" fontId="0" fillId="0" borderId="0" xfId="0" applyNumberFormat="1" applyAlignment="1">
      <alignment vertical="center"/>
    </xf>
    <xf numFmtId="165" fontId="0" fillId="0" borderId="0" xfId="0" applyNumberFormat="1"/>
    <xf numFmtId="43" fontId="0" fillId="0" borderId="0" xfId="0" applyNumberFormat="1"/>
    <xf numFmtId="9" fontId="0" fillId="0" borderId="8" xfId="0" applyNumberFormat="1" applyBorder="1" applyAlignment="1">
      <alignment vertical="center"/>
    </xf>
    <xf numFmtId="165" fontId="0" fillId="0" borderId="9" xfId="2" applyFont="1" applyBorder="1" applyAlignment="1">
      <alignment vertical="center"/>
    </xf>
    <xf numFmtId="165" fontId="0" fillId="0" borderId="15" xfId="2" applyFont="1" applyBorder="1" applyAlignment="1">
      <alignment vertical="center"/>
    </xf>
    <xf numFmtId="0" fontId="0" fillId="0" borderId="36" xfId="0" applyBorder="1" applyAlignment="1">
      <alignment vertical="center"/>
    </xf>
    <xf numFmtId="165" fontId="0" fillId="0" borderId="18" xfId="2" applyFont="1" applyBorder="1" applyAlignment="1">
      <alignment vertical="center"/>
    </xf>
    <xf numFmtId="0" fontId="0" fillId="0" borderId="25" xfId="0" applyBorder="1" applyAlignment="1">
      <alignment vertical="center"/>
    </xf>
    <xf numFmtId="165" fontId="0" fillId="0" borderId="33" xfId="0" applyNumberFormat="1" applyBorder="1" applyAlignment="1">
      <alignment vertical="center"/>
    </xf>
    <xf numFmtId="9" fontId="0" fillId="0" borderId="0" xfId="1" applyFont="1"/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/>
    <xf numFmtId="165" fontId="0" fillId="0" borderId="16" xfId="0" applyNumberFormat="1" applyBorder="1"/>
    <xf numFmtId="165" fontId="0" fillId="0" borderId="20" xfId="0" applyNumberFormat="1" applyBorder="1"/>
    <xf numFmtId="165" fontId="0" fillId="0" borderId="41" xfId="0" applyNumberFormat="1" applyBorder="1"/>
    <xf numFmtId="165" fontId="0" fillId="0" borderId="38" xfId="0" applyNumberFormat="1" applyBorder="1"/>
    <xf numFmtId="165" fontId="0" fillId="0" borderId="39" xfId="0" applyNumberFormat="1" applyBorder="1"/>
    <xf numFmtId="16" fontId="0" fillId="0" borderId="0" xfId="0" applyNumberFormat="1"/>
    <xf numFmtId="165" fontId="3" fillId="0" borderId="6" xfId="2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0" xfId="0" applyAlignment="1">
      <alignment horizontal="center"/>
    </xf>
    <xf numFmtId="0" fontId="6" fillId="0" borderId="2" xfId="0" applyFont="1" applyBorder="1" applyAlignment="1">
      <alignment vertical="center"/>
    </xf>
    <xf numFmtId="0" fontId="0" fillId="0" borderId="31" xfId="0" applyBorder="1"/>
    <xf numFmtId="165" fontId="9" fillId="0" borderId="30" xfId="2" applyFont="1" applyBorder="1" applyAlignment="1">
      <alignment vertical="center"/>
    </xf>
    <xf numFmtId="165" fontId="9" fillId="0" borderId="42" xfId="2" applyFont="1" applyBorder="1" applyAlignment="1">
      <alignment vertical="center"/>
    </xf>
    <xf numFmtId="165" fontId="9" fillId="0" borderId="40" xfId="2" applyFont="1" applyBorder="1" applyAlignment="1">
      <alignment vertical="center"/>
    </xf>
    <xf numFmtId="165" fontId="9" fillId="0" borderId="16" xfId="2" applyFont="1" applyBorder="1" applyAlignment="1">
      <alignment vertical="center"/>
    </xf>
    <xf numFmtId="165" fontId="9" fillId="0" borderId="14" xfId="2" applyFont="1" applyBorder="1" applyAlignment="1">
      <alignment vertical="center"/>
    </xf>
    <xf numFmtId="165" fontId="9" fillId="0" borderId="23" xfId="2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29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7" fillId="0" borderId="2" xfId="0" applyFont="1" applyBorder="1"/>
    <xf numFmtId="165" fontId="18" fillId="0" borderId="42" xfId="2" applyFont="1" applyBorder="1" applyAlignment="1">
      <alignment horizontal="center" vertical="center"/>
    </xf>
    <xf numFmtId="166" fontId="18" fillId="0" borderId="29" xfId="2" applyNumberFormat="1" applyFont="1" applyBorder="1" applyAlignment="1">
      <alignment vertical="center"/>
    </xf>
    <xf numFmtId="165" fontId="18" fillId="0" borderId="19" xfId="2" applyFont="1" applyBorder="1" applyAlignment="1">
      <alignment horizontal="center" vertical="center"/>
    </xf>
    <xf numFmtId="166" fontId="18" fillId="0" borderId="13" xfId="2" applyNumberFormat="1" applyFont="1" applyBorder="1" applyAlignment="1">
      <alignment vertical="center"/>
    </xf>
    <xf numFmtId="166" fontId="18" fillId="0" borderId="22" xfId="2" applyNumberFormat="1" applyFont="1" applyBorder="1" applyAlignment="1">
      <alignment vertical="center"/>
    </xf>
    <xf numFmtId="0" fontId="18" fillId="0" borderId="0" xfId="0" applyFont="1" applyAlignment="1">
      <alignment vertical="center"/>
    </xf>
    <xf numFmtId="0" fontId="8" fillId="0" borderId="1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8" fillId="0" borderId="22" xfId="0" applyFont="1" applyBorder="1" applyAlignment="1">
      <alignment vertical="center"/>
    </xf>
    <xf numFmtId="0" fontId="17" fillId="0" borderId="0" xfId="0" applyFont="1"/>
    <xf numFmtId="165" fontId="17" fillId="0" borderId="0" xfId="2" applyFont="1"/>
    <xf numFmtId="9" fontId="17" fillId="0" borderId="0" xfId="0" applyNumberFormat="1" applyFont="1"/>
    <xf numFmtId="0" fontId="18" fillId="0" borderId="1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165" fontId="17" fillId="0" borderId="6" xfId="0" applyNumberFormat="1" applyFont="1" applyBorder="1" applyAlignment="1">
      <alignment vertical="center"/>
    </xf>
    <xf numFmtId="9" fontId="17" fillId="0" borderId="3" xfId="0" applyNumberFormat="1" applyFont="1" applyBorder="1" applyAlignment="1">
      <alignment vertical="center"/>
    </xf>
    <xf numFmtId="165" fontId="17" fillId="0" borderId="7" xfId="0" applyNumberFormat="1" applyFont="1" applyBorder="1" applyAlignment="1">
      <alignment vertical="center"/>
    </xf>
    <xf numFmtId="9" fontId="17" fillId="0" borderId="5" xfId="1" applyFont="1" applyBorder="1" applyAlignment="1">
      <alignment vertical="center"/>
    </xf>
    <xf numFmtId="0" fontId="24" fillId="2" borderId="25" xfId="0" applyFont="1" applyFill="1" applyBorder="1" applyAlignment="1">
      <alignment vertical="center"/>
    </xf>
    <xf numFmtId="165" fontId="23" fillId="2" borderId="33" xfId="0" applyNumberFormat="1" applyFont="1" applyFill="1" applyBorder="1" applyAlignment="1">
      <alignment vertical="center"/>
    </xf>
    <xf numFmtId="9" fontId="21" fillId="2" borderId="32" xfId="1" applyFont="1" applyFill="1" applyBorder="1" applyAlignment="1">
      <alignment vertical="center"/>
    </xf>
    <xf numFmtId="0" fontId="18" fillId="0" borderId="26" xfId="0" applyFont="1" applyBorder="1"/>
    <xf numFmtId="165" fontId="18" fillId="0" borderId="21" xfId="2" applyFont="1" applyBorder="1" applyAlignment="1">
      <alignment horizontal="center" vertical="center"/>
    </xf>
    <xf numFmtId="165" fontId="18" fillId="0" borderId="37" xfId="2" applyFont="1" applyBorder="1" applyAlignment="1">
      <alignment horizontal="center" vertical="center"/>
    </xf>
    <xf numFmtId="165" fontId="18" fillId="0" borderId="11" xfId="2" applyFont="1" applyBorder="1" applyAlignment="1">
      <alignment horizontal="center" vertical="center"/>
    </xf>
    <xf numFmtId="165" fontId="18" fillId="0" borderId="24" xfId="2" applyFont="1" applyBorder="1" applyAlignment="1">
      <alignment horizontal="center" vertical="center"/>
    </xf>
    <xf numFmtId="165" fontId="9" fillId="0" borderId="19" xfId="2" applyFont="1" applyBorder="1" applyAlignment="1">
      <alignment vertical="center"/>
    </xf>
    <xf numFmtId="165" fontId="9" fillId="0" borderId="21" xfId="2" applyFont="1" applyBorder="1" applyAlignment="1">
      <alignment vertical="center"/>
    </xf>
    <xf numFmtId="165" fontId="17" fillId="0" borderId="0" xfId="0" applyNumberFormat="1" applyFont="1"/>
    <xf numFmtId="9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0" fontId="0" fillId="0" borderId="0" xfId="0" applyAlignment="1">
      <alignment horizontal="centerContinuous"/>
    </xf>
    <xf numFmtId="166" fontId="18" fillId="0" borderId="17" xfId="2" applyNumberFormat="1" applyFont="1" applyBorder="1" applyAlignment="1">
      <alignment vertical="center"/>
    </xf>
    <xf numFmtId="9" fontId="20" fillId="0" borderId="31" xfId="0" applyNumberFormat="1" applyFont="1" applyBorder="1"/>
    <xf numFmtId="165" fontId="18" fillId="0" borderId="41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33" xfId="0" applyFont="1" applyBorder="1" applyAlignment="1">
      <alignment vertical="center" wrapText="1"/>
    </xf>
    <xf numFmtId="2" fontId="17" fillId="0" borderId="0" xfId="1" applyNumberFormat="1" applyFont="1" applyAlignment="1">
      <alignment vertical="center"/>
    </xf>
    <xf numFmtId="0" fontId="0" fillId="0" borderId="50" xfId="0" applyBorder="1" applyAlignment="1">
      <alignment horizontal="center"/>
    </xf>
    <xf numFmtId="0" fontId="0" fillId="0" borderId="51" xfId="0" applyBorder="1"/>
    <xf numFmtId="165" fontId="0" fillId="0" borderId="49" xfId="0" applyNumberFormat="1" applyBorder="1"/>
    <xf numFmtId="165" fontId="0" fillId="0" borderId="50" xfId="0" applyNumberFormat="1" applyBorder="1"/>
    <xf numFmtId="0" fontId="11" fillId="3" borderId="6" xfId="0" applyFont="1" applyFill="1" applyBorder="1" applyAlignment="1">
      <alignment horizontal="center" vertical="center" wrapText="1"/>
    </xf>
    <xf numFmtId="0" fontId="11" fillId="3" borderId="7" xfId="0" applyFont="1" applyFill="1" applyBorder="1" applyAlignment="1">
      <alignment horizontal="center" vertical="center" wrapText="1"/>
    </xf>
    <xf numFmtId="2" fontId="14" fillId="4" borderId="6" xfId="0" applyNumberFormat="1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165" fontId="2" fillId="4" borderId="25" xfId="2" applyFont="1" applyFill="1" applyBorder="1" applyAlignment="1">
      <alignment vertical="center"/>
    </xf>
    <xf numFmtId="165" fontId="2" fillId="4" borderId="31" xfId="2" applyFont="1" applyFill="1" applyBorder="1" applyAlignment="1">
      <alignment vertical="center"/>
    </xf>
    <xf numFmtId="0" fontId="3" fillId="4" borderId="31" xfId="0" applyFont="1" applyFill="1" applyBorder="1" applyAlignment="1">
      <alignment vertical="center"/>
    </xf>
    <xf numFmtId="0" fontId="4" fillId="4" borderId="32" xfId="0" applyFont="1" applyFill="1" applyBorder="1" applyAlignment="1">
      <alignment vertical="center"/>
    </xf>
    <xf numFmtId="0" fontId="2" fillId="4" borderId="31" xfId="0" applyFont="1" applyFill="1" applyBorder="1" applyAlignment="1">
      <alignment vertical="center" wrapText="1"/>
    </xf>
    <xf numFmtId="0" fontId="2" fillId="4" borderId="26" xfId="0" applyFont="1" applyFill="1" applyBorder="1" applyAlignment="1">
      <alignment vertical="center" wrapText="1"/>
    </xf>
    <xf numFmtId="0" fontId="2" fillId="4" borderId="31" xfId="0" applyFont="1" applyFill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167" fontId="10" fillId="4" borderId="6" xfId="2" applyNumberFormat="1" applyFont="1" applyFill="1" applyBorder="1" applyAlignment="1">
      <alignment vertical="center"/>
    </xf>
    <xf numFmtId="167" fontId="7" fillId="0" borderId="1" xfId="0" applyNumberFormat="1" applyFont="1" applyBorder="1" applyAlignment="1">
      <alignment vertical="center"/>
    </xf>
    <xf numFmtId="167" fontId="7" fillId="0" borderId="4" xfId="0" applyNumberFormat="1" applyFont="1" applyBorder="1" applyAlignment="1">
      <alignment vertical="center"/>
    </xf>
    <xf numFmtId="167" fontId="10" fillId="4" borderId="33" xfId="2" applyNumberFormat="1" applyFont="1" applyFill="1" applyBorder="1" applyAlignment="1">
      <alignment vertical="center"/>
    </xf>
    <xf numFmtId="167" fontId="7" fillId="0" borderId="3" xfId="0" applyNumberFormat="1" applyFont="1" applyBorder="1" applyAlignment="1">
      <alignment vertical="center"/>
    </xf>
    <xf numFmtId="167" fontId="7" fillId="0" borderId="5" xfId="0" applyNumberFormat="1" applyFont="1" applyBorder="1" applyAlignment="1">
      <alignment vertical="center"/>
    </xf>
    <xf numFmtId="167" fontId="7" fillId="0" borderId="27" xfId="0" applyNumberFormat="1" applyFont="1" applyBorder="1" applyAlignment="1">
      <alignment vertical="center"/>
    </xf>
    <xf numFmtId="167" fontId="25" fillId="4" borderId="33" xfId="2" applyNumberFormat="1" applyFont="1" applyFill="1" applyBorder="1" applyAlignment="1">
      <alignment vertical="center" wrapText="1"/>
    </xf>
    <xf numFmtId="167" fontId="25" fillId="4" borderId="12" xfId="2" applyNumberFormat="1" applyFont="1" applyFill="1" applyBorder="1" applyAlignment="1">
      <alignment vertical="center" wrapText="1"/>
    </xf>
    <xf numFmtId="167" fontId="25" fillId="4" borderId="18" xfId="2" applyNumberFormat="1" applyFont="1" applyFill="1" applyBorder="1" applyAlignment="1">
      <alignment vertical="center"/>
    </xf>
    <xf numFmtId="167" fontId="26" fillId="4" borderId="33" xfId="2" applyNumberFormat="1" applyFont="1" applyFill="1" applyBorder="1" applyAlignment="1">
      <alignment vertical="center"/>
    </xf>
    <xf numFmtId="167" fontId="18" fillId="0" borderId="37" xfId="2" applyNumberFormat="1" applyFont="1" applyBorder="1" applyAlignment="1">
      <alignment vertical="center"/>
    </xf>
    <xf numFmtId="167" fontId="18" fillId="0" borderId="11" xfId="2" applyNumberFormat="1" applyFont="1" applyBorder="1" applyAlignment="1">
      <alignment vertical="center"/>
    </xf>
    <xf numFmtId="167" fontId="18" fillId="0" borderId="24" xfId="2" applyNumberFormat="1" applyFont="1" applyBorder="1" applyAlignment="1">
      <alignment vertical="center"/>
    </xf>
    <xf numFmtId="167" fontId="18" fillId="0" borderId="26" xfId="0" applyNumberFormat="1" applyFont="1" applyBorder="1"/>
    <xf numFmtId="167" fontId="18" fillId="0" borderId="42" xfId="2" applyNumberFormat="1" applyFont="1" applyBorder="1" applyAlignment="1">
      <alignment vertical="center"/>
    </xf>
    <xf numFmtId="167" fontId="18" fillId="0" borderId="19" xfId="2" applyNumberFormat="1" applyFont="1" applyBorder="1" applyAlignment="1">
      <alignment vertical="center"/>
    </xf>
    <xf numFmtId="167" fontId="18" fillId="0" borderId="21" xfId="2" applyNumberFormat="1" applyFont="1" applyBorder="1" applyAlignment="1">
      <alignment vertical="center"/>
    </xf>
    <xf numFmtId="167" fontId="0" fillId="0" borderId="0" xfId="0" applyNumberFormat="1"/>
    <xf numFmtId="167" fontId="18" fillId="0" borderId="49" xfId="2" applyNumberFormat="1" applyFont="1" applyBorder="1" applyAlignment="1">
      <alignment vertical="center"/>
    </xf>
    <xf numFmtId="167" fontId="0" fillId="0" borderId="31" xfId="0" applyNumberFormat="1" applyBorder="1"/>
    <xf numFmtId="167" fontId="19" fillId="0" borderId="32" xfId="2" applyNumberFormat="1" applyFont="1" applyBorder="1" applyAlignment="1">
      <alignment vertical="center"/>
    </xf>
    <xf numFmtId="167" fontId="19" fillId="0" borderId="16" xfId="2" applyNumberFormat="1" applyFont="1" applyBorder="1" applyAlignment="1">
      <alignment vertical="center"/>
    </xf>
    <xf numFmtId="167" fontId="19" fillId="0" borderId="21" xfId="2" applyNumberFormat="1" applyFont="1" applyBorder="1" applyAlignment="1">
      <alignment vertical="center"/>
    </xf>
    <xf numFmtId="167" fontId="18" fillId="0" borderId="30" xfId="2" applyNumberFormat="1" applyFont="1" applyBorder="1" applyAlignment="1">
      <alignment vertical="center"/>
    </xf>
    <xf numFmtId="167" fontId="18" fillId="0" borderId="14" xfId="2" applyNumberFormat="1" applyFont="1" applyBorder="1" applyAlignment="1">
      <alignment vertical="center"/>
    </xf>
    <xf numFmtId="167" fontId="18" fillId="0" borderId="23" xfId="2" applyNumberFormat="1" applyFont="1" applyBorder="1" applyAlignment="1">
      <alignment vertical="center"/>
    </xf>
    <xf numFmtId="167" fontId="0" fillId="0" borderId="5" xfId="0" applyNumberFormat="1" applyBorder="1"/>
    <xf numFmtId="167" fontId="18" fillId="0" borderId="40" xfId="2" applyNumberFormat="1" applyFont="1" applyBorder="1" applyAlignment="1">
      <alignment vertical="center"/>
    </xf>
    <xf numFmtId="167" fontId="18" fillId="0" borderId="16" xfId="0" applyNumberFormat="1" applyFont="1" applyBorder="1" applyAlignment="1">
      <alignment vertical="center"/>
    </xf>
    <xf numFmtId="167" fontId="18" fillId="0" borderId="21" xfId="0" applyNumberFormat="1" applyFont="1" applyBorder="1" applyAlignment="1">
      <alignment vertical="center"/>
    </xf>
    <xf numFmtId="0" fontId="8" fillId="0" borderId="52" xfId="0" applyFont="1" applyBorder="1" applyAlignment="1">
      <alignment vertical="center" wrapText="1"/>
    </xf>
    <xf numFmtId="167" fontId="18" fillId="0" borderId="0" xfId="2" applyNumberFormat="1" applyFont="1" applyAlignment="1">
      <alignment vertical="center"/>
    </xf>
    <xf numFmtId="167" fontId="18" fillId="0" borderId="0" xfId="0" applyNumberFormat="1" applyFont="1"/>
    <xf numFmtId="167" fontId="18" fillId="0" borderId="5" xfId="0" applyNumberFormat="1" applyFont="1" applyBorder="1"/>
    <xf numFmtId="9" fontId="20" fillId="0" borderId="26" xfId="0" applyNumberFormat="1" applyFont="1" applyBorder="1"/>
    <xf numFmtId="167" fontId="18" fillId="0" borderId="53" xfId="2" applyNumberFormat="1" applyFont="1" applyBorder="1" applyAlignment="1">
      <alignment vertical="center"/>
    </xf>
    <xf numFmtId="167" fontId="18" fillId="0" borderId="54" xfId="2" applyNumberFormat="1" applyFont="1" applyBorder="1" applyAlignment="1">
      <alignment vertical="center"/>
    </xf>
    <xf numFmtId="0" fontId="17" fillId="9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28" fillId="5" borderId="25" xfId="0" applyFont="1" applyFill="1" applyBorder="1"/>
    <xf numFmtId="0" fontId="28" fillId="5" borderId="31" xfId="0" applyFont="1" applyFill="1" applyBorder="1"/>
    <xf numFmtId="0" fontId="28" fillId="5" borderId="32" xfId="0" applyFont="1" applyFill="1" applyBorder="1"/>
    <xf numFmtId="0" fontId="17" fillId="5" borderId="55" xfId="0" applyFont="1" applyFill="1" applyBorder="1" applyAlignment="1">
      <alignment wrapText="1"/>
    </xf>
    <xf numFmtId="0" fontId="17" fillId="5" borderId="38" xfId="0" applyFont="1" applyFill="1" applyBorder="1" applyAlignment="1">
      <alignment wrapText="1"/>
    </xf>
    <xf numFmtId="0" fontId="17" fillId="5" borderId="39" xfId="0" applyFont="1" applyFill="1" applyBorder="1" applyAlignment="1">
      <alignment wrapText="1"/>
    </xf>
    <xf numFmtId="0" fontId="17" fillId="5" borderId="40" xfId="0" applyFont="1" applyFill="1" applyBorder="1" applyAlignment="1">
      <alignment horizontal="center" vertical="center"/>
    </xf>
    <xf numFmtId="0" fontId="30" fillId="5" borderId="40" xfId="0" applyFont="1" applyFill="1" applyBorder="1" applyAlignment="1">
      <alignment horizontal="center" vertical="center"/>
    </xf>
    <xf numFmtId="0" fontId="31" fillId="5" borderId="40" xfId="0" applyFont="1" applyFill="1" applyBorder="1" applyAlignment="1">
      <alignment horizontal="center" vertical="center"/>
    </xf>
    <xf numFmtId="0" fontId="29" fillId="5" borderId="40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5" borderId="46" xfId="0" applyFont="1" applyFill="1" applyBorder="1" applyAlignment="1">
      <alignment horizontal="center" vertical="center"/>
    </xf>
    <xf numFmtId="0" fontId="32" fillId="5" borderId="40" xfId="0" applyFont="1" applyFill="1" applyBorder="1" applyAlignment="1">
      <alignment horizontal="center" vertical="center"/>
    </xf>
    <xf numFmtId="0" fontId="34" fillId="12" borderId="57" xfId="0" applyFont="1" applyFill="1" applyBorder="1" applyAlignment="1">
      <alignment horizontal="left" vertical="center" indent="1"/>
    </xf>
    <xf numFmtId="0" fontId="0" fillId="0" borderId="57" xfId="0" applyBorder="1"/>
    <xf numFmtId="0" fontId="38" fillId="11" borderId="57" xfId="0" applyFont="1" applyFill="1" applyBorder="1" applyAlignment="1">
      <alignment horizontal="center" vertical="center" wrapText="1"/>
    </xf>
    <xf numFmtId="0" fontId="35" fillId="0" borderId="57" xfId="0" applyFont="1" applyBorder="1" applyAlignment="1">
      <alignment horizontal="center" vertical="center"/>
    </xf>
    <xf numFmtId="0" fontId="35" fillId="0" borderId="57" xfId="0" applyFont="1" applyBorder="1" applyAlignment="1">
      <alignment horizontal="left" vertical="center" wrapText="1"/>
    </xf>
    <xf numFmtId="4" fontId="35" fillId="0" borderId="57" xfId="0" applyNumberFormat="1" applyFont="1" applyBorder="1" applyAlignment="1">
      <alignment horizontal="right" vertical="center"/>
    </xf>
    <xf numFmtId="0" fontId="34" fillId="12" borderId="57" xfId="0" applyFont="1" applyFill="1" applyBorder="1" applyAlignment="1">
      <alignment horizontal="right" vertical="center"/>
    </xf>
    <xf numFmtId="4" fontId="39" fillId="12" borderId="57" xfId="0" applyNumberFormat="1" applyFont="1" applyFill="1" applyBorder="1" applyAlignment="1">
      <alignment horizontal="right" vertical="center"/>
    </xf>
    <xf numFmtId="0" fontId="40" fillId="15" borderId="57" xfId="0" applyFont="1" applyFill="1" applyBorder="1" applyAlignment="1">
      <alignment horizontal="right" vertical="center"/>
    </xf>
    <xf numFmtId="4" fontId="40" fillId="15" borderId="57" xfId="0" applyNumberFormat="1" applyFont="1" applyFill="1" applyBorder="1" applyAlignment="1">
      <alignment horizontal="right" vertical="center"/>
    </xf>
    <xf numFmtId="0" fontId="37" fillId="11" borderId="57" xfId="0" applyFont="1" applyFill="1" applyBorder="1" applyAlignment="1">
      <alignment horizontal="right" vertical="center"/>
    </xf>
    <xf numFmtId="4" fontId="37" fillId="11" borderId="57" xfId="0" applyNumberFormat="1" applyFont="1" applyFill="1" applyBorder="1" applyAlignment="1">
      <alignment horizontal="right" vertical="center"/>
    </xf>
    <xf numFmtId="0" fontId="41" fillId="0" borderId="0" xfId="0" applyFont="1"/>
    <xf numFmtId="168" fontId="35" fillId="0" borderId="57" xfId="0" applyNumberFormat="1" applyFont="1" applyBorder="1" applyAlignment="1">
      <alignment horizontal="center" vertical="center"/>
    </xf>
    <xf numFmtId="0" fontId="36" fillId="16" borderId="30" xfId="0" applyFont="1" applyFill="1" applyBorder="1" applyAlignment="1" applyProtection="1">
      <alignment wrapText="1"/>
      <protection locked="0"/>
    </xf>
    <xf numFmtId="0" fontId="36" fillId="16" borderId="30" xfId="0" applyFont="1" applyFill="1" applyBorder="1" applyAlignment="1" applyProtection="1">
      <alignment horizontal="center" vertical="center"/>
      <protection locked="0"/>
    </xf>
    <xf numFmtId="165" fontId="36" fillId="16" borderId="30" xfId="2" applyFont="1" applyFill="1" applyBorder="1" applyAlignment="1" applyProtection="1">
      <alignment horizontal="center" vertical="center"/>
      <protection locked="0"/>
    </xf>
    <xf numFmtId="9" fontId="36" fillId="16" borderId="29" xfId="1" applyFont="1" applyFill="1" applyBorder="1" applyAlignment="1" applyProtection="1">
      <alignment vertical="center"/>
      <protection locked="0"/>
    </xf>
    <xf numFmtId="167" fontId="36" fillId="16" borderId="30" xfId="1" applyNumberFormat="1" applyFont="1" applyFill="1" applyBorder="1" applyAlignment="1" applyProtection="1">
      <alignment vertical="center"/>
      <protection locked="0"/>
    </xf>
    <xf numFmtId="167" fontId="36" fillId="16" borderId="30" xfId="1" applyNumberFormat="1" applyFont="1" applyFill="1" applyBorder="1" applyAlignment="1" applyProtection="1">
      <alignment horizontal="center" vertical="center"/>
      <protection locked="0"/>
    </xf>
    <xf numFmtId="9" fontId="36" fillId="16" borderId="8" xfId="1" applyFont="1" applyFill="1" applyBorder="1" applyAlignment="1" applyProtection="1">
      <alignment vertical="center"/>
      <protection locked="0"/>
    </xf>
    <xf numFmtId="0" fontId="36" fillId="16" borderId="40" xfId="0" applyFont="1" applyFill="1" applyBorder="1" applyAlignment="1" applyProtection="1">
      <alignment wrapText="1"/>
      <protection locked="0"/>
    </xf>
    <xf numFmtId="0" fontId="36" fillId="16" borderId="40" xfId="0" applyFont="1" applyFill="1" applyBorder="1" applyAlignment="1" applyProtection="1">
      <alignment horizontal="center" vertical="center"/>
      <protection locked="0"/>
    </xf>
    <xf numFmtId="165" fontId="36" fillId="16" borderId="40" xfId="2" applyFont="1" applyFill="1" applyBorder="1" applyAlignment="1" applyProtection="1">
      <alignment horizontal="center" vertical="center"/>
      <protection locked="0"/>
    </xf>
    <xf numFmtId="9" fontId="36" fillId="16" borderId="13" xfId="1" applyFont="1" applyFill="1" applyBorder="1" applyAlignment="1" applyProtection="1">
      <alignment vertical="center"/>
      <protection locked="0"/>
    </xf>
    <xf numFmtId="167" fontId="36" fillId="16" borderId="14" xfId="1" applyNumberFormat="1" applyFont="1" applyFill="1" applyBorder="1" applyAlignment="1" applyProtection="1">
      <alignment vertical="center"/>
      <protection locked="0"/>
    </xf>
    <xf numFmtId="167" fontId="36" fillId="16" borderId="14" xfId="1" applyNumberFormat="1" applyFont="1" applyFill="1" applyBorder="1" applyAlignment="1" applyProtection="1">
      <alignment horizontal="center" vertical="center"/>
      <protection locked="0"/>
    </xf>
    <xf numFmtId="9" fontId="36" fillId="16" borderId="47" xfId="1" applyFont="1" applyFill="1" applyBorder="1" applyAlignment="1" applyProtection="1">
      <alignment vertical="center"/>
      <protection locked="0"/>
    </xf>
    <xf numFmtId="0" fontId="36" fillId="16" borderId="40" xfId="0" applyFont="1" applyFill="1" applyBorder="1" applyProtection="1">
      <protection locked="0"/>
    </xf>
    <xf numFmtId="0" fontId="36" fillId="16" borderId="43" xfId="0" applyFont="1" applyFill="1" applyBorder="1" applyAlignment="1" applyProtection="1">
      <alignment wrapText="1"/>
      <protection locked="0"/>
    </xf>
    <xf numFmtId="165" fontId="36" fillId="16" borderId="43" xfId="2" applyFont="1" applyFill="1" applyBorder="1" applyAlignment="1" applyProtection="1">
      <alignment horizontal="center" vertical="center"/>
      <protection locked="0"/>
    </xf>
    <xf numFmtId="9" fontId="36" fillId="16" borderId="22" xfId="1" applyFont="1" applyFill="1" applyBorder="1" applyAlignment="1" applyProtection="1">
      <alignment vertical="center"/>
      <protection locked="0"/>
    </xf>
    <xf numFmtId="167" fontId="36" fillId="16" borderId="23" xfId="1" applyNumberFormat="1" applyFont="1" applyFill="1" applyBorder="1" applyAlignment="1" applyProtection="1">
      <alignment vertical="center"/>
      <protection locked="0"/>
    </xf>
    <xf numFmtId="167" fontId="36" fillId="16" borderId="23" xfId="1" applyNumberFormat="1" applyFont="1" applyFill="1" applyBorder="1" applyAlignment="1" applyProtection="1">
      <alignment horizontal="center" vertical="center"/>
      <protection locked="0"/>
    </xf>
    <xf numFmtId="9" fontId="36" fillId="16" borderId="48" xfId="1" applyFont="1" applyFill="1" applyBorder="1" applyAlignment="1" applyProtection="1">
      <alignment vertical="center"/>
      <protection locked="0"/>
    </xf>
    <xf numFmtId="0" fontId="36" fillId="16" borderId="2" xfId="0" applyFont="1" applyFill="1" applyBorder="1" applyAlignment="1" applyProtection="1">
      <alignment vertical="center"/>
      <protection locked="0"/>
    </xf>
    <xf numFmtId="0" fontId="36" fillId="16" borderId="34" xfId="0" applyFont="1" applyFill="1" applyBorder="1" applyProtection="1">
      <protection locked="0"/>
    </xf>
    <xf numFmtId="167" fontId="36" fillId="16" borderId="26" xfId="0" applyNumberFormat="1" applyFont="1" applyFill="1" applyBorder="1" applyProtection="1">
      <protection locked="0"/>
    </xf>
    <xf numFmtId="0" fontId="36" fillId="16" borderId="26" xfId="0" applyFont="1" applyFill="1" applyBorder="1" applyProtection="1">
      <protection locked="0"/>
    </xf>
    <xf numFmtId="0" fontId="36" fillId="16" borderId="0" xfId="0" applyFont="1" applyFill="1" applyProtection="1">
      <protection locked="0"/>
    </xf>
    <xf numFmtId="167" fontId="36" fillId="16" borderId="44" xfId="1" applyNumberFormat="1" applyFont="1" applyFill="1" applyBorder="1" applyAlignment="1" applyProtection="1">
      <alignment vertical="center"/>
      <protection locked="0"/>
    </xf>
    <xf numFmtId="0" fontId="36" fillId="16" borderId="14" xfId="0" applyFont="1" applyFill="1" applyBorder="1" applyAlignment="1" applyProtection="1">
      <alignment wrapText="1"/>
      <protection locked="0"/>
    </xf>
    <xf numFmtId="0" fontId="36" fillId="16" borderId="14" xfId="0" applyFont="1" applyFill="1" applyBorder="1" applyAlignment="1" applyProtection="1">
      <alignment horizontal="center" vertical="center"/>
      <protection locked="0"/>
    </xf>
    <xf numFmtId="165" fontId="36" fillId="16" borderId="14" xfId="2" applyFont="1" applyFill="1" applyBorder="1" applyAlignment="1" applyProtection="1">
      <alignment horizontal="center" vertical="center"/>
      <protection locked="0"/>
    </xf>
    <xf numFmtId="167" fontId="36" fillId="16" borderId="46" xfId="1" applyNumberFormat="1" applyFont="1" applyFill="1" applyBorder="1" applyAlignment="1" applyProtection="1">
      <alignment vertical="center"/>
      <protection locked="0"/>
    </xf>
    <xf numFmtId="165" fontId="36" fillId="16" borderId="13" xfId="2" applyFont="1" applyFill="1" applyBorder="1" applyAlignment="1" applyProtection="1">
      <alignment vertical="center"/>
      <protection locked="0"/>
    </xf>
    <xf numFmtId="167" fontId="36" fillId="16" borderId="46" xfId="2" applyNumberFormat="1" applyFont="1" applyFill="1" applyBorder="1" applyAlignment="1" applyProtection="1">
      <alignment vertical="center"/>
      <protection locked="0"/>
    </xf>
    <xf numFmtId="167" fontId="36" fillId="16" borderId="14" xfId="2" applyNumberFormat="1" applyFont="1" applyFill="1" applyBorder="1" applyAlignment="1" applyProtection="1">
      <alignment horizontal="center" vertical="center"/>
      <protection locked="0"/>
    </xf>
    <xf numFmtId="0" fontId="36" fillId="16" borderId="14" xfId="0" applyFont="1" applyFill="1" applyBorder="1" applyAlignment="1" applyProtection="1">
      <alignment vertical="center" wrapText="1"/>
      <protection locked="0"/>
    </xf>
    <xf numFmtId="165" fontId="36" fillId="16" borderId="23" xfId="2" applyFont="1" applyFill="1" applyBorder="1" applyAlignment="1" applyProtection="1">
      <alignment horizontal="center" vertical="center"/>
      <protection locked="0"/>
    </xf>
    <xf numFmtId="167" fontId="36" fillId="16" borderId="45" xfId="1" applyNumberFormat="1" applyFont="1" applyFill="1" applyBorder="1" applyAlignment="1" applyProtection="1">
      <alignment vertical="center"/>
      <protection locked="0"/>
    </xf>
    <xf numFmtId="0" fontId="36" fillId="16" borderId="4" xfId="0" applyFont="1" applyFill="1" applyBorder="1" applyProtection="1">
      <protection locked="0"/>
    </xf>
    <xf numFmtId="167" fontId="36" fillId="16" borderId="0" xfId="0" applyNumberFormat="1" applyFont="1" applyFill="1" applyProtection="1">
      <protection locked="0"/>
    </xf>
    <xf numFmtId="167" fontId="36" fillId="16" borderId="0" xfId="0" applyNumberFormat="1" applyFont="1" applyFill="1" applyAlignment="1" applyProtection="1">
      <alignment horizontal="center"/>
      <protection locked="0"/>
    </xf>
    <xf numFmtId="9" fontId="36" fillId="16" borderId="17" xfId="1" applyFont="1" applyFill="1" applyBorder="1" applyAlignment="1" applyProtection="1">
      <alignment vertical="center"/>
      <protection locked="0"/>
    </xf>
    <xf numFmtId="167" fontId="36" fillId="16" borderId="20" xfId="1" applyNumberFormat="1" applyFont="1" applyFill="1" applyBorder="1" applyAlignment="1" applyProtection="1">
      <alignment vertical="center"/>
      <protection locked="0"/>
    </xf>
    <xf numFmtId="167" fontId="36" fillId="16" borderId="20" xfId="1" applyNumberFormat="1" applyFont="1" applyFill="1" applyBorder="1" applyAlignment="1" applyProtection="1">
      <alignment horizontal="center" vertical="center"/>
      <protection locked="0"/>
    </xf>
    <xf numFmtId="9" fontId="36" fillId="16" borderId="36" xfId="1" applyFont="1" applyFill="1" applyBorder="1" applyAlignment="1" applyProtection="1">
      <alignment vertical="center"/>
      <protection locked="0"/>
    </xf>
    <xf numFmtId="0" fontId="36" fillId="16" borderId="25" xfId="0" applyFont="1" applyFill="1" applyBorder="1" applyProtection="1">
      <protection locked="0"/>
    </xf>
    <xf numFmtId="167" fontId="36" fillId="16" borderId="31" xfId="0" applyNumberFormat="1" applyFont="1" applyFill="1" applyBorder="1" applyProtection="1">
      <protection locked="0"/>
    </xf>
    <xf numFmtId="167" fontId="36" fillId="16" borderId="31" xfId="0" applyNumberFormat="1" applyFont="1" applyFill="1" applyBorder="1" applyAlignment="1" applyProtection="1">
      <alignment horizontal="center"/>
      <protection locked="0"/>
    </xf>
    <xf numFmtId="0" fontId="36" fillId="16" borderId="31" xfId="0" applyFont="1" applyFill="1" applyBorder="1" applyProtection="1">
      <protection locked="0"/>
    </xf>
    <xf numFmtId="0" fontId="16" fillId="5" borderId="6" xfId="0" applyFont="1" applyFill="1" applyBorder="1" applyAlignment="1">
      <alignment horizontal="center" vertical="center" wrapText="1"/>
    </xf>
    <xf numFmtId="0" fontId="0" fillId="0" borderId="7" xfId="0" applyBorder="1"/>
    <xf numFmtId="0" fontId="16" fillId="5" borderId="33" xfId="0" applyFont="1" applyFill="1" applyBorder="1" applyAlignment="1">
      <alignment horizontal="center" vertical="center" wrapText="1"/>
    </xf>
    <xf numFmtId="0" fontId="0" fillId="0" borderId="28" xfId="0" applyBorder="1"/>
    <xf numFmtId="0" fontId="22" fillId="0" borderId="33" xfId="3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34" xfId="0" applyBorder="1"/>
    <xf numFmtId="0" fontId="0" fillId="0" borderId="26" xfId="0" applyBorder="1"/>
    <xf numFmtId="0" fontId="0" fillId="0" borderId="27" xfId="0" applyBorder="1"/>
    <xf numFmtId="0" fontId="16" fillId="5" borderId="1" xfId="0" applyFont="1" applyFill="1" applyBorder="1" applyAlignment="1">
      <alignment horizontal="center" vertical="center" wrapText="1"/>
    </xf>
    <xf numFmtId="0" fontId="0" fillId="0" borderId="4" xfId="0" applyBorder="1"/>
    <xf numFmtId="0" fontId="36" fillId="16" borderId="7" xfId="0" applyFont="1" applyFill="1" applyBorder="1" applyAlignment="1" applyProtection="1">
      <alignment horizontal="center"/>
      <protection locked="0"/>
    </xf>
    <xf numFmtId="0" fontId="0" fillId="0" borderId="0" xfId="0"/>
    <xf numFmtId="0" fontId="0" fillId="0" borderId="5" xfId="0" applyBorder="1"/>
    <xf numFmtId="0" fontId="12" fillId="3" borderId="2" xfId="0" applyFont="1" applyFill="1" applyBorder="1" applyAlignment="1">
      <alignment horizontal="center" vertical="center"/>
    </xf>
    <xf numFmtId="0" fontId="16" fillId="6" borderId="6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 wrapText="1"/>
    </xf>
    <xf numFmtId="0" fontId="16" fillId="6" borderId="33" xfId="0" applyFont="1" applyFill="1" applyBorder="1" applyAlignment="1">
      <alignment horizontal="center" vertical="center" wrapText="1"/>
    </xf>
    <xf numFmtId="0" fontId="5" fillId="4" borderId="33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0" fillId="0" borderId="56" xfId="0" applyBorder="1"/>
    <xf numFmtId="0" fontId="37" fillId="14" borderId="0" xfId="0" applyFont="1" applyFill="1" applyAlignment="1">
      <alignment horizontal="left" vertical="center" indent="1"/>
    </xf>
    <xf numFmtId="0" fontId="36" fillId="13" borderId="57" xfId="0" applyFont="1" applyFill="1" applyBorder="1" applyAlignment="1" applyProtection="1">
      <alignment horizontal="left" vertical="center" indent="1"/>
      <protection locked="0"/>
    </xf>
    <xf numFmtId="0" fontId="0" fillId="0" borderId="59" xfId="0" applyBorder="1" applyProtection="1">
      <protection locked="0"/>
    </xf>
    <xf numFmtId="0" fontId="35" fillId="13" borderId="57" xfId="0" applyFont="1" applyFill="1" applyBorder="1" applyAlignment="1">
      <alignment horizontal="left" vertical="center" indent="1"/>
    </xf>
    <xf numFmtId="0" fontId="0" fillId="0" borderId="59" xfId="0" applyBorder="1"/>
    <xf numFmtId="0" fontId="36" fillId="13" borderId="58" xfId="0" applyFont="1" applyFill="1" applyBorder="1" applyAlignment="1" applyProtection="1">
      <alignment horizontal="left" vertical="top" wrapText="1"/>
      <protection locked="0"/>
    </xf>
    <xf numFmtId="0" fontId="0" fillId="0" borderId="60" xfId="0" applyBorder="1" applyProtection="1">
      <protection locked="0"/>
    </xf>
    <xf numFmtId="0" fontId="0" fillId="0" borderId="62" xfId="0" applyBorder="1" applyProtection="1">
      <protection locked="0"/>
    </xf>
    <xf numFmtId="0" fontId="0" fillId="0" borderId="61" xfId="0" applyBorder="1" applyProtection="1">
      <protection locked="0"/>
    </xf>
    <xf numFmtId="0" fontId="0" fillId="0" borderId="0" xfId="0" applyProtection="1">
      <protection locked="0"/>
    </xf>
    <xf numFmtId="0" fontId="0" fillId="0" borderId="63" xfId="0" applyBorder="1" applyProtection="1">
      <protection locked="0"/>
    </xf>
    <xf numFmtId="0" fontId="0" fillId="0" borderId="64" xfId="0" applyBorder="1" applyProtection="1">
      <protection locked="0"/>
    </xf>
    <xf numFmtId="0" fontId="0" fillId="0" borderId="65" xfId="0" applyBorder="1" applyProtection="1">
      <protection locked="0"/>
    </xf>
    <xf numFmtId="0" fontId="0" fillId="0" borderId="66" xfId="0" applyBorder="1" applyProtection="1">
      <protection locked="0"/>
    </xf>
    <xf numFmtId="0" fontId="33" fillId="11" borderId="0" xfId="0" applyFont="1" applyFill="1" applyAlignment="1">
      <alignment horizontal="left" vertical="center" indent="1"/>
    </xf>
    <xf numFmtId="0" fontId="41" fillId="13" borderId="0" xfId="0" applyFont="1" applyFill="1" applyAlignment="1">
      <alignment horizontal="left" vertical="center" wrapText="1"/>
    </xf>
    <xf numFmtId="0" fontId="27" fillId="5" borderId="33" xfId="0" applyFont="1" applyFill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27" fillId="5" borderId="33" xfId="0" applyFont="1" applyFill="1" applyBorder="1" applyAlignment="1">
      <alignment horizontal="center" vertical="center" textRotation="90"/>
    </xf>
  </cellXfs>
  <cellStyles count="4">
    <cellStyle name="Hipervínculo" xfId="3" builtinId="8"/>
    <cellStyle name="Millares 2 2" xfId="2" xr:uid="{00000000-0005-0000-0000-000002000000}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NG1V08D\Rata%20Roja\Users\Omar%20Portal\Documents\Rata%20Roja\Synergia\EEFF_SYNERGIA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NG1V08D\Rata%20Roja\Users\Synergia%20SAC\Desktop\SYNERCLEAN\Productos\CONTROL%20VENTA%20GENERADORES%20DE%20OZONO-%20LIM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NTO DE EQUILIBRIO"/>
      <sheetName val="MOVIMIENTOS"/>
      <sheetName val="FLUJO DE CAJA"/>
      <sheetName val="MAQUINARIAS"/>
      <sheetName val="DIARIO"/>
      <sheetName val="MAQDELTA-21"/>
      <sheetName val="PLANILLA"/>
      <sheetName val="LOCADORES"/>
      <sheetName val="FLUJO MENSUAL"/>
      <sheetName val="COMPROBACION"/>
      <sheetName val="SEGUROS"/>
    </sheetNames>
    <sheetDataSet>
      <sheetData sheetId="0"/>
      <sheetData sheetId="1"/>
      <sheetData sheetId="2">
        <row r="4">
          <cell r="AE4" t="str">
            <v>Agosto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800"/>
      <sheetName val="801"/>
      <sheetName val="802"/>
      <sheetName val="803"/>
      <sheetName val="804"/>
      <sheetName val="805"/>
      <sheetName val="806"/>
      <sheetName val="807"/>
      <sheetName val="808"/>
      <sheetName val="809"/>
      <sheetName val="810"/>
      <sheetName val="811"/>
      <sheetName val="812"/>
      <sheetName val="813"/>
      <sheetName val="814"/>
      <sheetName val="815"/>
      <sheetName val="816"/>
      <sheetName val="CLIENTES"/>
      <sheetName val="Lista de precios"/>
      <sheetName val="7gh"/>
      <sheetName val="3gh"/>
      <sheetName val="Resumen"/>
      <sheetName val="63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">
          <cell r="F1" t="str">
            <v>PRODUCTO</v>
          </cell>
          <cell r="X1">
            <v>3.5</v>
          </cell>
        </row>
      </sheetData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mailto:correo@corre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0"/>
  <sheetViews>
    <sheetView tabSelected="1" workbookViewId="0">
      <pane ySplit="3" topLeftCell="A22" activePane="bottomLeft" state="frozen"/>
      <selection pane="bottomLeft" activeCell="J26" sqref="J26"/>
    </sheetView>
  </sheetViews>
  <sheetFormatPr baseColWidth="10" defaultColWidth="9.140625" defaultRowHeight="15" x14ac:dyDescent="0.25"/>
  <cols>
    <col min="1" max="1" width="9" customWidth="1"/>
    <col min="2" max="2" width="42" customWidth="1"/>
    <col min="3" max="3" width="7" customWidth="1"/>
    <col min="4" max="4" width="9" customWidth="1"/>
    <col min="5" max="6" width="12" customWidth="1"/>
  </cols>
  <sheetData>
    <row r="1" spans="1:6" ht="27.95" customHeight="1" x14ac:dyDescent="0.25">
      <c r="A1" s="258" t="s">
        <v>38</v>
      </c>
      <c r="B1" s="234"/>
      <c r="C1" s="234"/>
      <c r="D1" s="234"/>
      <c r="E1" s="234"/>
      <c r="F1" s="234"/>
    </row>
    <row r="2" spans="1:6" ht="18" customHeight="1" x14ac:dyDescent="0.25">
      <c r="A2" s="159" t="s">
        <v>39</v>
      </c>
      <c r="B2" s="247" t="str">
        <f>'Plantilla de cotización'!B7</f>
        <v>COTIZACION 023-01-1201</v>
      </c>
      <c r="C2" s="248"/>
      <c r="D2" s="159" t="s">
        <v>40</v>
      </c>
      <c r="E2" s="245"/>
      <c r="F2" s="246"/>
    </row>
    <row r="3" spans="1:6" ht="18" customHeight="1" x14ac:dyDescent="0.25">
      <c r="A3" s="244" t="s">
        <v>41</v>
      </c>
      <c r="B3" s="234"/>
      <c r="C3" s="234"/>
      <c r="D3" s="234"/>
      <c r="E3" s="234"/>
      <c r="F3" s="234"/>
    </row>
    <row r="4" spans="1:6" ht="18" customHeight="1" x14ac:dyDescent="0.25">
      <c r="A4" s="159" t="s">
        <v>42</v>
      </c>
      <c r="B4" s="245"/>
      <c r="C4" s="246"/>
      <c r="D4" s="159" t="s">
        <v>43</v>
      </c>
      <c r="E4" s="245"/>
      <c r="F4" s="246"/>
    </row>
    <row r="5" spans="1:6" ht="18" customHeight="1" x14ac:dyDescent="0.25">
      <c r="A5" s="159" t="s">
        <v>44</v>
      </c>
      <c r="B5" s="245"/>
      <c r="C5" s="246"/>
      <c r="D5" s="159" t="s">
        <v>45</v>
      </c>
      <c r="E5" s="245"/>
      <c r="F5" s="246"/>
    </row>
    <row r="6" spans="1:6" ht="18" customHeight="1" x14ac:dyDescent="0.25">
      <c r="A6" s="159" t="s">
        <v>46</v>
      </c>
      <c r="B6" s="245"/>
      <c r="C6" s="246"/>
      <c r="D6" s="159" t="s">
        <v>47</v>
      </c>
      <c r="E6" s="245"/>
      <c r="F6" s="246"/>
    </row>
    <row r="7" spans="1:6" ht="18" customHeight="1" x14ac:dyDescent="0.25">
      <c r="A7" s="159" t="s">
        <v>48</v>
      </c>
      <c r="B7" s="245"/>
      <c r="C7" s="246"/>
      <c r="D7" s="159" t="s">
        <v>49</v>
      </c>
      <c r="E7" s="245"/>
      <c r="F7" s="246"/>
    </row>
    <row r="8" spans="1:6" ht="18" customHeight="1" x14ac:dyDescent="0.25">
      <c r="A8" s="244" t="s">
        <v>50</v>
      </c>
      <c r="B8" s="234"/>
      <c r="C8" s="234"/>
      <c r="D8" s="234"/>
      <c r="E8" s="234"/>
      <c r="F8" s="234"/>
    </row>
    <row r="9" spans="1:6" ht="42" customHeight="1" x14ac:dyDescent="0.25">
      <c r="A9" s="249"/>
      <c r="B9" s="250"/>
      <c r="C9" s="250"/>
      <c r="D9" s="250"/>
      <c r="E9" s="250"/>
      <c r="F9" s="251"/>
    </row>
    <row r="10" spans="1:6" ht="42" customHeight="1" x14ac:dyDescent="0.25">
      <c r="A10" s="252"/>
      <c r="B10" s="253"/>
      <c r="C10" s="253"/>
      <c r="D10" s="253"/>
      <c r="E10" s="253"/>
      <c r="F10" s="254"/>
    </row>
    <row r="11" spans="1:6" ht="42" customHeight="1" x14ac:dyDescent="0.25">
      <c r="A11" s="255"/>
      <c r="B11" s="256"/>
      <c r="C11" s="256"/>
      <c r="D11" s="256"/>
      <c r="E11" s="256"/>
      <c r="F11" s="257"/>
    </row>
    <row r="12" spans="1:6" ht="18" customHeight="1" x14ac:dyDescent="0.25">
      <c r="A12" s="244" t="s">
        <v>51</v>
      </c>
      <c r="B12" s="234"/>
      <c r="C12" s="234"/>
      <c r="D12" s="234"/>
      <c r="E12" s="234"/>
      <c r="F12" s="234"/>
    </row>
    <row r="13" spans="1:6" ht="42" customHeight="1" x14ac:dyDescent="0.25">
      <c r="A13" s="249"/>
      <c r="B13" s="250"/>
      <c r="C13" s="250"/>
      <c r="D13" s="250"/>
      <c r="E13" s="250"/>
      <c r="F13" s="251"/>
    </row>
    <row r="14" spans="1:6" ht="42" customHeight="1" x14ac:dyDescent="0.25">
      <c r="A14" s="252"/>
      <c r="B14" s="253"/>
      <c r="C14" s="253"/>
      <c r="D14" s="253"/>
      <c r="E14" s="253"/>
      <c r="F14" s="254"/>
    </row>
    <row r="15" spans="1:6" ht="42" customHeight="1" x14ac:dyDescent="0.25">
      <c r="A15" s="255"/>
      <c r="B15" s="256"/>
      <c r="C15" s="256"/>
      <c r="D15" s="256"/>
      <c r="E15" s="256"/>
      <c r="F15" s="257"/>
    </row>
    <row r="16" spans="1:6" ht="18" customHeight="1" x14ac:dyDescent="0.25">
      <c r="A16" s="244" t="s">
        <v>52</v>
      </c>
      <c r="B16" s="234"/>
      <c r="C16" s="234"/>
      <c r="D16" s="234"/>
      <c r="E16" s="234"/>
      <c r="F16" s="234"/>
    </row>
    <row r="17" spans="1:6" ht="42" customHeight="1" x14ac:dyDescent="0.25">
      <c r="A17" s="249"/>
      <c r="B17" s="250"/>
      <c r="C17" s="250"/>
      <c r="D17" s="250"/>
      <c r="E17" s="250"/>
      <c r="F17" s="251"/>
    </row>
    <row r="18" spans="1:6" ht="42" customHeight="1" x14ac:dyDescent="0.25">
      <c r="A18" s="252"/>
      <c r="B18" s="253"/>
      <c r="C18" s="253"/>
      <c r="D18" s="253"/>
      <c r="E18" s="253"/>
      <c r="F18" s="254"/>
    </row>
    <row r="19" spans="1:6" ht="42" customHeight="1" x14ac:dyDescent="0.25">
      <c r="A19" s="255"/>
      <c r="B19" s="256"/>
      <c r="C19" s="256"/>
      <c r="D19" s="256"/>
      <c r="E19" s="256"/>
      <c r="F19" s="257"/>
    </row>
    <row r="20" spans="1:6" ht="18" customHeight="1" x14ac:dyDescent="0.25">
      <c r="A20" s="244" t="s">
        <v>53</v>
      </c>
      <c r="B20" s="234"/>
      <c r="C20" s="234"/>
      <c r="D20" s="234"/>
      <c r="E20" s="234"/>
      <c r="F20" s="234"/>
    </row>
    <row r="21" spans="1:6" ht="42" customHeight="1" x14ac:dyDescent="0.25">
      <c r="A21" s="249"/>
      <c r="B21" s="250"/>
      <c r="C21" s="250"/>
      <c r="D21" s="250"/>
      <c r="E21" s="250"/>
      <c r="F21" s="251"/>
    </row>
    <row r="22" spans="1:6" ht="42" customHeight="1" x14ac:dyDescent="0.25">
      <c r="A22" s="252"/>
      <c r="B22" s="253"/>
      <c r="C22" s="253"/>
      <c r="D22" s="253"/>
      <c r="E22" s="253"/>
      <c r="F22" s="254"/>
    </row>
    <row r="23" spans="1:6" ht="42" customHeight="1" x14ac:dyDescent="0.25">
      <c r="A23" s="255"/>
      <c r="B23" s="256"/>
      <c r="C23" s="256"/>
      <c r="D23" s="256"/>
      <c r="E23" s="256"/>
      <c r="F23" s="257"/>
    </row>
    <row r="24" spans="1:6" ht="18" customHeight="1" x14ac:dyDescent="0.25">
      <c r="A24" s="244" t="s">
        <v>54</v>
      </c>
      <c r="B24" s="234"/>
      <c r="C24" s="234"/>
      <c r="D24" s="234"/>
      <c r="E24" s="234"/>
      <c r="F24" s="234"/>
    </row>
    <row r="25" spans="1:6" ht="32.1" customHeight="1" x14ac:dyDescent="0.25">
      <c r="A25" s="249"/>
      <c r="B25" s="250"/>
      <c r="C25" s="250"/>
      <c r="D25" s="250"/>
      <c r="E25" s="250"/>
      <c r="F25" s="251"/>
    </row>
    <row r="26" spans="1:6" ht="32.1" customHeight="1" x14ac:dyDescent="0.25">
      <c r="A26" s="255"/>
      <c r="B26" s="256"/>
      <c r="C26" s="256"/>
      <c r="D26" s="256"/>
      <c r="E26" s="256"/>
      <c r="F26" s="257"/>
    </row>
    <row r="27" spans="1:6" ht="18" customHeight="1" x14ac:dyDescent="0.25">
      <c r="A27" s="244" t="s">
        <v>55</v>
      </c>
      <c r="B27" s="234"/>
      <c r="C27" s="234"/>
      <c r="D27" s="234"/>
      <c r="E27" s="234"/>
      <c r="F27" s="234"/>
    </row>
    <row r="28" spans="1:6" ht="20.100000000000001" customHeight="1" x14ac:dyDescent="0.25">
      <c r="A28" s="161" t="s">
        <v>56</v>
      </c>
      <c r="B28" s="161" t="s">
        <v>57</v>
      </c>
      <c r="C28" s="161" t="s">
        <v>58</v>
      </c>
      <c r="D28" s="161" t="s">
        <v>59</v>
      </c>
      <c r="E28" s="161" t="s">
        <v>60</v>
      </c>
      <c r="F28" s="161" t="s">
        <v>61</v>
      </c>
    </row>
    <row r="29" spans="1:6" ht="18" customHeight="1" x14ac:dyDescent="0.25">
      <c r="A29" s="172">
        <f>IF('Plantilla de cotización'!B18="","",'Plantilla de cotización'!B18)</f>
        <v>1.01</v>
      </c>
      <c r="B29" s="163" t="str">
        <f>IF('Plantilla de cotización'!C18="","",'Plantilla de cotización'!C18)</f>
        <v/>
      </c>
      <c r="C29" s="162" t="str">
        <f>IF('Plantilla de cotización'!D18="","",'Plantilla de cotización'!D18)</f>
        <v>GLB</v>
      </c>
      <c r="D29" s="164">
        <f>IF('Plantilla de cotización'!E18="","",'Plantilla de cotización'!E18)</f>
        <v>1</v>
      </c>
      <c r="E29" s="164">
        <f>IF('Plantilla de cotización'!Q18="","",'Plantilla de cotización'!Q18)</f>
        <v>2.04</v>
      </c>
      <c r="F29" s="164">
        <f>IF('Plantilla de cotización'!R18="","",'Plantilla de cotización'!R18)</f>
        <v>2.04</v>
      </c>
    </row>
    <row r="30" spans="1:6" ht="18" customHeight="1" x14ac:dyDescent="0.25">
      <c r="A30" s="172">
        <f>IF('Plantilla de cotización'!B19="","",'Plantilla de cotización'!B19)</f>
        <v>1.02</v>
      </c>
      <c r="B30" s="163" t="str">
        <f>IF('Plantilla de cotización'!C19="","",'Plantilla de cotización'!C19)</f>
        <v/>
      </c>
      <c r="C30" s="162" t="str">
        <f>IF('Plantilla de cotización'!D19="","",'Plantilla de cotización'!D19)</f>
        <v>M3</v>
      </c>
      <c r="D30" s="164">
        <f>IF('Plantilla de cotización'!E19="","",'Plantilla de cotización'!E19)</f>
        <v>0</v>
      </c>
      <c r="E30" s="164">
        <f>IF('Plantilla de cotización'!Q19="","",'Plantilla de cotización'!Q19)</f>
        <v>0</v>
      </c>
      <c r="F30" s="164">
        <f>IF('Plantilla de cotización'!R19="","",'Plantilla de cotización'!R19)</f>
        <v>0</v>
      </c>
    </row>
    <row r="31" spans="1:6" ht="18" customHeight="1" x14ac:dyDescent="0.25">
      <c r="A31" s="172">
        <f>IF('Plantilla de cotización'!B20="","",'Plantilla de cotización'!B20)</f>
        <v>1.03</v>
      </c>
      <c r="B31" s="163" t="str">
        <f>IF('Plantilla de cotización'!C20="","",'Plantilla de cotización'!C20)</f>
        <v/>
      </c>
      <c r="C31" s="162" t="str">
        <f>IF('Plantilla de cotización'!D20="","",'Plantilla de cotización'!D20)</f>
        <v>M2</v>
      </c>
      <c r="D31" s="164">
        <f>IF('Plantilla de cotización'!E20="","",'Plantilla de cotización'!E20)</f>
        <v>0</v>
      </c>
      <c r="E31" s="164">
        <f>IF('Plantilla de cotización'!Q20="","",'Plantilla de cotización'!Q20)</f>
        <v>0</v>
      </c>
      <c r="F31" s="164">
        <f>IF('Plantilla de cotización'!R20="","",'Plantilla de cotización'!R20)</f>
        <v>0</v>
      </c>
    </row>
    <row r="32" spans="1:6" ht="18" customHeight="1" x14ac:dyDescent="0.25">
      <c r="A32" s="172">
        <f>IF('Plantilla de cotización'!B21="","",'Plantilla de cotización'!B21)</f>
        <v>1.04</v>
      </c>
      <c r="B32" s="163" t="str">
        <f>IF('Plantilla de cotización'!C21="","",'Plantilla de cotización'!C21)</f>
        <v/>
      </c>
      <c r="C32" s="162" t="str">
        <f>IF('Plantilla de cotización'!D21="","",'Plantilla de cotización'!D21)</f>
        <v>M3</v>
      </c>
      <c r="D32" s="164">
        <f>IF('Plantilla de cotización'!E21="","",'Plantilla de cotización'!E21)</f>
        <v>0</v>
      </c>
      <c r="E32" s="164">
        <f>IF('Plantilla de cotización'!Q21="","",'Plantilla de cotización'!Q21)</f>
        <v>0</v>
      </c>
      <c r="F32" s="164">
        <f>IF('Plantilla de cotización'!R21="","",'Plantilla de cotización'!R21)</f>
        <v>0</v>
      </c>
    </row>
    <row r="33" spans="1:6" ht="18" customHeight="1" x14ac:dyDescent="0.25">
      <c r="A33" s="172">
        <f>IF('Plantilla de cotización'!B22="","",'Plantilla de cotización'!B22)</f>
        <v>1.05</v>
      </c>
      <c r="B33" s="163" t="str">
        <f>IF('Plantilla de cotización'!C22="","",'Plantilla de cotización'!C22)</f>
        <v/>
      </c>
      <c r="C33" s="162" t="str">
        <f>IF('Plantilla de cotización'!D22="","",'Plantilla de cotización'!D22)</f>
        <v>M3</v>
      </c>
      <c r="D33" s="164">
        <f>IF('Plantilla de cotización'!E22="","",'Plantilla de cotización'!E22)</f>
        <v>0</v>
      </c>
      <c r="E33" s="164">
        <f>IF('Plantilla de cotización'!Q22="","",'Plantilla de cotización'!Q22)</f>
        <v>0</v>
      </c>
      <c r="F33" s="164">
        <f>IF('Plantilla de cotización'!R22="","",'Plantilla de cotización'!R22)</f>
        <v>0</v>
      </c>
    </row>
    <row r="34" spans="1:6" ht="18" customHeight="1" x14ac:dyDescent="0.25">
      <c r="A34" s="172">
        <f>IF('Plantilla de cotización'!B23="","",'Plantilla de cotización'!B23)</f>
        <v>1.06</v>
      </c>
      <c r="B34" s="163" t="str">
        <f>IF('Plantilla de cotización'!C23="","",'Plantilla de cotización'!C23)</f>
        <v/>
      </c>
      <c r="C34" s="162" t="str">
        <f>IF('Plantilla de cotización'!D23="","",'Plantilla de cotización'!D23)</f>
        <v>M3</v>
      </c>
      <c r="D34" s="164">
        <f>IF('Plantilla de cotización'!E23="","",'Plantilla de cotización'!E23)</f>
        <v>0</v>
      </c>
      <c r="E34" s="164">
        <f>IF('Plantilla de cotización'!Q23="","",'Plantilla de cotización'!Q23)</f>
        <v>0</v>
      </c>
      <c r="F34" s="164">
        <f>IF('Plantilla de cotización'!R23="","",'Plantilla de cotización'!R23)</f>
        <v>0</v>
      </c>
    </row>
    <row r="35" spans="1:6" ht="18" customHeight="1" x14ac:dyDescent="0.25">
      <c r="A35" s="172">
        <f>IF('Plantilla de cotización'!B24="","",'Plantilla de cotización'!B24)</f>
        <v>2</v>
      </c>
      <c r="B35" s="163" t="str">
        <f>IF('Plantilla de cotización'!C24="","",'Plantilla de cotización'!C24)</f>
        <v/>
      </c>
      <c r="C35" s="162" t="str">
        <f>IF('Plantilla de cotización'!D24="","",'Plantilla de cotización'!D24)</f>
        <v/>
      </c>
      <c r="D35" s="164" t="str">
        <f>IF('Plantilla de cotización'!E24="","",'Plantilla de cotización'!E24)</f>
        <v/>
      </c>
      <c r="E35" s="164" t="str">
        <f>IF('Plantilla de cotización'!Q24="","",'Plantilla de cotización'!Q24)</f>
        <v/>
      </c>
      <c r="F35" s="164" t="str">
        <f>IF('Plantilla de cotización'!R24="","",'Plantilla de cotización'!R24)</f>
        <v/>
      </c>
    </row>
    <row r="36" spans="1:6" ht="18" customHeight="1" x14ac:dyDescent="0.25">
      <c r="A36" s="172">
        <f>IF('Plantilla de cotización'!B25="","",'Plantilla de cotización'!B25)</f>
        <v>2.0099999999999998</v>
      </c>
      <c r="B36" s="163" t="str">
        <f>IF('Plantilla de cotización'!C25="","",'Plantilla de cotización'!C25)</f>
        <v/>
      </c>
      <c r="C36" s="162" t="str">
        <f>IF('Plantilla de cotización'!D25="","",'Plantilla de cotización'!D25)</f>
        <v>DIA</v>
      </c>
      <c r="D36" s="164">
        <f>IF('Plantilla de cotización'!E25="","",'Plantilla de cotización'!E25)</f>
        <v>0</v>
      </c>
      <c r="E36" s="164">
        <f>IF('Plantilla de cotización'!Q25="","",'Plantilla de cotización'!Q25)</f>
        <v>0</v>
      </c>
      <c r="F36" s="164">
        <f>IF('Plantilla de cotización'!R25="","",'Plantilla de cotización'!R25)</f>
        <v>0</v>
      </c>
    </row>
    <row r="37" spans="1:6" ht="18" customHeight="1" x14ac:dyDescent="0.25">
      <c r="A37" s="172">
        <f>IF('Plantilla de cotización'!B26="","",'Plantilla de cotización'!B26)</f>
        <v>2.02</v>
      </c>
      <c r="B37" s="163" t="str">
        <f>IF('Plantilla de cotización'!C26="","",'Plantilla de cotización'!C26)</f>
        <v/>
      </c>
      <c r="C37" s="162" t="str">
        <f>IF('Plantilla de cotización'!D26="","",'Plantilla de cotización'!D26)</f>
        <v>M3</v>
      </c>
      <c r="D37" s="164">
        <f>IF('Plantilla de cotización'!E26="","",'Plantilla de cotización'!E26)</f>
        <v>0</v>
      </c>
      <c r="E37" s="164">
        <f>IF('Plantilla de cotización'!Q26="","",'Plantilla de cotización'!Q26)</f>
        <v>0</v>
      </c>
      <c r="F37" s="164">
        <f>IF('Plantilla de cotización'!R26="","",'Plantilla de cotización'!R26)</f>
        <v>0</v>
      </c>
    </row>
    <row r="38" spans="1:6" ht="18" customHeight="1" x14ac:dyDescent="0.25">
      <c r="A38" s="172">
        <f>IF('Plantilla de cotización'!B27="","",'Plantilla de cotización'!B27)</f>
        <v>2.0299999999999998</v>
      </c>
      <c r="B38" s="163" t="str">
        <f>IF('Plantilla de cotización'!C27="","",'Plantilla de cotización'!C27)</f>
        <v/>
      </c>
      <c r="C38" s="162" t="str">
        <f>IF('Plantilla de cotización'!D27="","",'Plantilla de cotización'!D27)</f>
        <v>M3</v>
      </c>
      <c r="D38" s="164">
        <f>IF('Plantilla de cotización'!E27="","",'Plantilla de cotización'!E27)</f>
        <v>0</v>
      </c>
      <c r="E38" s="164">
        <f>IF('Plantilla de cotización'!Q27="","",'Plantilla de cotización'!Q27)</f>
        <v>0</v>
      </c>
      <c r="F38" s="164">
        <f>IF('Plantilla de cotización'!R27="","",'Plantilla de cotización'!R27)</f>
        <v>0</v>
      </c>
    </row>
    <row r="39" spans="1:6" ht="18" customHeight="1" x14ac:dyDescent="0.25">
      <c r="A39" s="172">
        <f>IF('Plantilla de cotización'!B28="","",'Plantilla de cotización'!B28)</f>
        <v>2.04</v>
      </c>
      <c r="B39" s="163" t="str">
        <f>IF('Plantilla de cotización'!C28="","",'Plantilla de cotización'!C28)</f>
        <v/>
      </c>
      <c r="C39" s="162" t="str">
        <f>IF('Plantilla de cotización'!D28="","",'Plantilla de cotización'!D28)</f>
        <v>ML</v>
      </c>
      <c r="D39" s="164">
        <f>IF('Plantilla de cotización'!E28="","",'Plantilla de cotización'!E28)</f>
        <v>0</v>
      </c>
      <c r="E39" s="164">
        <f>IF('Plantilla de cotización'!Q28="","",'Plantilla de cotización'!Q28)</f>
        <v>0</v>
      </c>
      <c r="F39" s="164">
        <f>IF('Plantilla de cotización'!R28="","",'Plantilla de cotización'!R28)</f>
        <v>0</v>
      </c>
    </row>
    <row r="40" spans="1:6" ht="18" customHeight="1" x14ac:dyDescent="0.25">
      <c r="A40" s="172">
        <f>IF('Plantilla de cotización'!B29="","",'Plantilla de cotización'!B29)</f>
        <v>2.0499999999999998</v>
      </c>
      <c r="B40" s="163" t="str">
        <f>IF('Plantilla de cotización'!C29="","",'Plantilla de cotización'!C29)</f>
        <v/>
      </c>
      <c r="C40" s="162" t="str">
        <f>IF('Plantilla de cotización'!D29="","",'Plantilla de cotización'!D29)</f>
        <v>ML</v>
      </c>
      <c r="D40" s="164">
        <f>IF('Plantilla de cotización'!E29="","",'Plantilla de cotización'!E29)</f>
        <v>0</v>
      </c>
      <c r="E40" s="164">
        <f>IF('Plantilla de cotización'!Q29="","",'Plantilla de cotización'!Q29)</f>
        <v>0</v>
      </c>
      <c r="F40" s="164">
        <f>IF('Plantilla de cotización'!R29="","",'Plantilla de cotización'!R29)</f>
        <v>0</v>
      </c>
    </row>
    <row r="41" spans="1:6" ht="18" customHeight="1" x14ac:dyDescent="0.25">
      <c r="A41" s="172">
        <f>IF('Plantilla de cotización'!B30="","",'Plantilla de cotización'!B30)</f>
        <v>2.06</v>
      </c>
      <c r="B41" s="163" t="str">
        <f>IF('Plantilla de cotización'!C30="","",'Plantilla de cotización'!C30)</f>
        <v/>
      </c>
      <c r="C41" s="162" t="str">
        <f>IF('Plantilla de cotización'!D30="","",'Plantilla de cotización'!D30)</f>
        <v>M2</v>
      </c>
      <c r="D41" s="164">
        <f>IF('Plantilla de cotización'!E30="","",'Plantilla de cotización'!E30)</f>
        <v>0</v>
      </c>
      <c r="E41" s="164">
        <f>IF('Plantilla de cotización'!Q30="","",'Plantilla de cotización'!Q30)</f>
        <v>0</v>
      </c>
      <c r="F41" s="164">
        <f>IF('Plantilla de cotización'!R30="","",'Plantilla de cotización'!R30)</f>
        <v>0</v>
      </c>
    </row>
    <row r="42" spans="1:6" ht="18" customHeight="1" x14ac:dyDescent="0.25">
      <c r="A42" s="172">
        <f>IF('Plantilla de cotización'!B31="","",'Plantilla de cotización'!B31)</f>
        <v>2.0699999999999998</v>
      </c>
      <c r="B42" s="163" t="str">
        <f>IF('Plantilla de cotización'!C31="","",'Plantilla de cotización'!C31)</f>
        <v/>
      </c>
      <c r="C42" s="162" t="str">
        <f>IF('Plantilla de cotización'!D31="","",'Plantilla de cotización'!D31)</f>
        <v>UND</v>
      </c>
      <c r="D42" s="164">
        <f>IF('Plantilla de cotización'!E31="","",'Plantilla de cotización'!E31)</f>
        <v>0</v>
      </c>
      <c r="E42" s="164">
        <f>IF('Plantilla de cotización'!Q31="","",'Plantilla de cotización'!Q31)</f>
        <v>0</v>
      </c>
      <c r="F42" s="164">
        <f>IF('Plantilla de cotización'!R31="","",'Plantilla de cotización'!R31)</f>
        <v>0</v>
      </c>
    </row>
    <row r="43" spans="1:6" ht="18" customHeight="1" x14ac:dyDescent="0.25">
      <c r="A43" s="172">
        <f>IF('Plantilla de cotización'!B32="","",'Plantilla de cotización'!B32)</f>
        <v>2.08</v>
      </c>
      <c r="B43" s="163" t="str">
        <f>IF('Plantilla de cotización'!C32="","",'Plantilla de cotización'!C32)</f>
        <v/>
      </c>
      <c r="C43" s="162" t="str">
        <f>IF('Plantilla de cotización'!D32="","",'Plantilla de cotización'!D32)</f>
        <v>UND</v>
      </c>
      <c r="D43" s="164">
        <f>IF('Plantilla de cotización'!E32="","",'Plantilla de cotización'!E32)</f>
        <v>0</v>
      </c>
      <c r="E43" s="164">
        <f>IF('Plantilla de cotización'!Q32="","",'Plantilla de cotización'!Q32)</f>
        <v>0</v>
      </c>
      <c r="F43" s="164">
        <f>IF('Plantilla de cotización'!R32="","",'Plantilla de cotización'!R32)</f>
        <v>0</v>
      </c>
    </row>
    <row r="44" spans="1:6" ht="18" customHeight="1" x14ac:dyDescent="0.25">
      <c r="A44" s="172">
        <f>IF('Plantilla de cotización'!B33="","",'Plantilla de cotización'!B33)</f>
        <v>2.09</v>
      </c>
      <c r="B44" s="163" t="str">
        <f>IF('Plantilla de cotización'!C33="","",'Plantilla de cotización'!C33)</f>
        <v/>
      </c>
      <c r="C44" s="162" t="str">
        <f>IF('Plantilla de cotización'!D33="","",'Plantilla de cotización'!D33)</f>
        <v>ML</v>
      </c>
      <c r="D44" s="164">
        <f>IF('Plantilla de cotización'!E33="","",'Plantilla de cotización'!E33)</f>
        <v>0</v>
      </c>
      <c r="E44" s="164">
        <f>IF('Plantilla de cotización'!Q33="","",'Plantilla de cotización'!Q33)</f>
        <v>0</v>
      </c>
      <c r="F44" s="164">
        <f>IF('Plantilla de cotización'!R33="","",'Plantilla de cotización'!R33)</f>
        <v>0</v>
      </c>
    </row>
    <row r="45" spans="1:6" ht="18" customHeight="1" x14ac:dyDescent="0.25">
      <c r="A45" s="172">
        <f>IF('Plantilla de cotización'!B34="","",'Plantilla de cotización'!B34)</f>
        <v>2.1</v>
      </c>
      <c r="B45" s="163" t="str">
        <f>IF('Plantilla de cotización'!C34="","",'Plantilla de cotización'!C34)</f>
        <v/>
      </c>
      <c r="C45" s="162" t="str">
        <f>IF('Plantilla de cotización'!D34="","",'Plantilla de cotización'!D34)</f>
        <v>ML</v>
      </c>
      <c r="D45" s="164">
        <f>IF('Plantilla de cotización'!E34="","",'Plantilla de cotización'!E34)</f>
        <v>0</v>
      </c>
      <c r="E45" s="164">
        <f>IF('Plantilla de cotización'!Q34="","",'Plantilla de cotización'!Q34)</f>
        <v>0</v>
      </c>
      <c r="F45" s="164">
        <f>IF('Plantilla de cotización'!R34="","",'Plantilla de cotización'!R34)</f>
        <v>0</v>
      </c>
    </row>
    <row r="46" spans="1:6" ht="18" customHeight="1" x14ac:dyDescent="0.25">
      <c r="A46" s="172">
        <f>IF('Plantilla de cotización'!B35="","",'Plantilla de cotización'!B35)</f>
        <v>2.11</v>
      </c>
      <c r="B46" s="163" t="str">
        <f>IF('Plantilla de cotización'!C35="","",'Plantilla de cotización'!C35)</f>
        <v/>
      </c>
      <c r="C46" s="162" t="str">
        <f>IF('Plantilla de cotización'!D35="","",'Plantilla de cotización'!D35)</f>
        <v>M2</v>
      </c>
      <c r="D46" s="164">
        <f>IF('Plantilla de cotización'!E35="","",'Plantilla de cotización'!E35)</f>
        <v>0</v>
      </c>
      <c r="E46" s="164">
        <f>IF('Plantilla de cotización'!Q35="","",'Plantilla de cotización'!Q35)</f>
        <v>0</v>
      </c>
      <c r="F46" s="164">
        <f>IF('Plantilla de cotización'!R35="","",'Plantilla de cotización'!R35)</f>
        <v>0</v>
      </c>
    </row>
    <row r="47" spans="1:6" ht="18" customHeight="1" x14ac:dyDescent="0.25">
      <c r="A47" s="172">
        <f>IF('Plantilla de cotización'!B36="","",'Plantilla de cotización'!B36)</f>
        <v>2.12</v>
      </c>
      <c r="B47" s="163" t="str">
        <f>IF('Plantilla de cotización'!C36="","",'Plantilla de cotización'!C36)</f>
        <v/>
      </c>
      <c r="C47" s="162" t="str">
        <f>IF('Plantilla de cotización'!D36="","",'Plantilla de cotización'!D36)</f>
        <v>M2</v>
      </c>
      <c r="D47" s="164">
        <f>IF('Plantilla de cotización'!E36="","",'Plantilla de cotización'!E36)</f>
        <v>0</v>
      </c>
      <c r="E47" s="164">
        <f>IF('Plantilla de cotización'!Q36="","",'Plantilla de cotización'!Q36)</f>
        <v>0</v>
      </c>
      <c r="F47" s="164">
        <f>IF('Plantilla de cotización'!R36="","",'Plantilla de cotización'!R36)</f>
        <v>0</v>
      </c>
    </row>
    <row r="48" spans="1:6" ht="18" customHeight="1" x14ac:dyDescent="0.25">
      <c r="A48" s="172">
        <f>IF('Plantilla de cotización'!B37="","",'Plantilla de cotización'!B37)</f>
        <v>2.13</v>
      </c>
      <c r="B48" s="163" t="str">
        <f>IF('Plantilla de cotización'!C37="","",'Plantilla de cotización'!C37)</f>
        <v/>
      </c>
      <c r="C48" s="162" t="str">
        <f>IF('Plantilla de cotización'!D37="","",'Plantilla de cotización'!D37)</f>
        <v>M2</v>
      </c>
      <c r="D48" s="164">
        <f>IF('Plantilla de cotización'!E37="","",'Plantilla de cotización'!E37)</f>
        <v>0</v>
      </c>
      <c r="E48" s="164">
        <f>IF('Plantilla de cotización'!Q37="","",'Plantilla de cotización'!Q37)</f>
        <v>0</v>
      </c>
      <c r="F48" s="164">
        <f>IF('Plantilla de cotización'!R37="","",'Plantilla de cotización'!R37)</f>
        <v>0</v>
      </c>
    </row>
    <row r="49" spans="1:6" ht="18" customHeight="1" x14ac:dyDescent="0.25">
      <c r="A49" s="172">
        <f>IF('Plantilla de cotización'!B38="","",'Plantilla de cotización'!B38)</f>
        <v>2.14</v>
      </c>
      <c r="B49" s="163" t="str">
        <f>IF('Plantilla de cotización'!C38="","",'Plantilla de cotización'!C38)</f>
        <v/>
      </c>
      <c r="C49" s="162" t="str">
        <f>IF('Plantilla de cotización'!D38="","",'Plantilla de cotización'!D38)</f>
        <v>GLB</v>
      </c>
      <c r="D49" s="164">
        <f>IF('Plantilla de cotización'!E38="","",'Plantilla de cotización'!E38)</f>
        <v>0</v>
      </c>
      <c r="E49" s="164">
        <f>IF('Plantilla de cotización'!Q38="","",'Plantilla de cotización'!Q38)</f>
        <v>0</v>
      </c>
      <c r="F49" s="164">
        <f>IF('Plantilla de cotización'!R38="","",'Plantilla de cotización'!R38)</f>
        <v>0</v>
      </c>
    </row>
    <row r="50" spans="1:6" ht="18" customHeight="1" x14ac:dyDescent="0.25">
      <c r="A50" s="172">
        <f>IF('Plantilla de cotización'!B39="","",'Plantilla de cotización'!B39)</f>
        <v>2.15</v>
      </c>
      <c r="B50" s="163" t="str">
        <f>IF('Plantilla de cotización'!C39="","",'Plantilla de cotización'!C39)</f>
        <v/>
      </c>
      <c r="C50" s="162" t="str">
        <f>IF('Plantilla de cotización'!D39="","",'Plantilla de cotización'!D39)</f>
        <v>M2</v>
      </c>
      <c r="D50" s="164">
        <f>IF('Plantilla de cotización'!E39="","",'Plantilla de cotización'!E39)</f>
        <v>0</v>
      </c>
      <c r="E50" s="164">
        <f>IF('Plantilla de cotización'!Q39="","",'Plantilla de cotización'!Q39)</f>
        <v>0</v>
      </c>
      <c r="F50" s="164">
        <f>IF('Plantilla de cotización'!R39="","",'Plantilla de cotización'!R39)</f>
        <v>0</v>
      </c>
    </row>
    <row r="51" spans="1:6" ht="18" customHeight="1" x14ac:dyDescent="0.25">
      <c r="A51" s="172">
        <f>IF('Plantilla de cotización'!B40="","",'Plantilla de cotización'!B40)</f>
        <v>2.16</v>
      </c>
      <c r="B51" s="163" t="str">
        <f>IF('Plantilla de cotización'!C40="","",'Plantilla de cotización'!C40)</f>
        <v/>
      </c>
      <c r="C51" s="162" t="str">
        <f>IF('Plantilla de cotización'!D40="","",'Plantilla de cotización'!D40)</f>
        <v>M2</v>
      </c>
      <c r="D51" s="164">
        <f>IF('Plantilla de cotización'!E40="","",'Plantilla de cotización'!E40)</f>
        <v>0</v>
      </c>
      <c r="E51" s="164">
        <f>IF('Plantilla de cotización'!Q40="","",'Plantilla de cotización'!Q40)</f>
        <v>0</v>
      </c>
      <c r="F51" s="164">
        <f>IF('Plantilla de cotización'!R40="","",'Plantilla de cotización'!R40)</f>
        <v>0</v>
      </c>
    </row>
    <row r="52" spans="1:6" ht="18" customHeight="1" x14ac:dyDescent="0.25">
      <c r="A52" s="172">
        <f>IF('Plantilla de cotización'!B41="","",'Plantilla de cotización'!B41)</f>
        <v>2.17</v>
      </c>
      <c r="B52" s="163" t="str">
        <f>IF('Plantilla de cotización'!C41="","",'Plantilla de cotización'!C41)</f>
        <v/>
      </c>
      <c r="C52" s="162" t="str">
        <f>IF('Plantilla de cotización'!D41="","",'Plantilla de cotización'!D41)</f>
        <v>ML</v>
      </c>
      <c r="D52" s="164">
        <f>IF('Plantilla de cotización'!E41="","",'Plantilla de cotización'!E41)</f>
        <v>0</v>
      </c>
      <c r="E52" s="164">
        <f>IF('Plantilla de cotización'!Q41="","",'Plantilla de cotización'!Q41)</f>
        <v>0</v>
      </c>
      <c r="F52" s="164">
        <f>IF('Plantilla de cotización'!R41="","",'Plantilla de cotización'!R41)</f>
        <v>0</v>
      </c>
    </row>
    <row r="53" spans="1:6" ht="18" customHeight="1" x14ac:dyDescent="0.25">
      <c r="A53" s="172">
        <f>IF('Plantilla de cotización'!B42="","",'Plantilla de cotización'!B42)</f>
        <v>2.1800000000000002</v>
      </c>
      <c r="B53" s="163" t="str">
        <f>IF('Plantilla de cotización'!C42="","",'Plantilla de cotización'!C42)</f>
        <v/>
      </c>
      <c r="C53" s="162" t="str">
        <f>IF('Plantilla de cotización'!D42="","",'Plantilla de cotización'!D42)</f>
        <v>GLB</v>
      </c>
      <c r="D53" s="164">
        <f>IF('Plantilla de cotización'!E42="","",'Plantilla de cotización'!E42)</f>
        <v>0</v>
      </c>
      <c r="E53" s="164">
        <f>IF('Plantilla de cotización'!Q42="","",'Plantilla de cotización'!Q42)</f>
        <v>0</v>
      </c>
      <c r="F53" s="164">
        <f>IF('Plantilla de cotización'!R42="","",'Plantilla de cotización'!R42)</f>
        <v>0</v>
      </c>
    </row>
    <row r="54" spans="1:6" ht="18" customHeight="1" x14ac:dyDescent="0.25">
      <c r="A54" s="172">
        <f>IF('Plantilla de cotización'!B43="","",'Plantilla de cotización'!B43)</f>
        <v>3</v>
      </c>
      <c r="B54" s="163" t="str">
        <f>IF('Plantilla de cotización'!C43="","",'Plantilla de cotización'!C43)</f>
        <v/>
      </c>
      <c r="C54" s="162" t="str">
        <f>IF('Plantilla de cotización'!D43="","",'Plantilla de cotización'!D43)</f>
        <v/>
      </c>
      <c r="D54" s="164" t="str">
        <f>IF('Plantilla de cotización'!E43="","",'Plantilla de cotización'!E43)</f>
        <v/>
      </c>
      <c r="E54" s="164" t="str">
        <f>IF('Plantilla de cotización'!Q43="","",'Plantilla de cotización'!Q43)</f>
        <v/>
      </c>
      <c r="F54" s="164" t="str">
        <f>IF('Plantilla de cotización'!R43="","",'Plantilla de cotización'!R43)</f>
        <v/>
      </c>
    </row>
    <row r="55" spans="1:6" ht="18" customHeight="1" x14ac:dyDescent="0.25">
      <c r="A55" s="172">
        <f>IF('Plantilla de cotización'!B44="","",'Plantilla de cotización'!B44)</f>
        <v>3.01</v>
      </c>
      <c r="B55" s="163" t="str">
        <f>IF('Plantilla de cotización'!C44="","",'Plantilla de cotización'!C44)</f>
        <v/>
      </c>
      <c r="C55" s="162" t="str">
        <f>IF('Plantilla de cotización'!D44="","",'Plantilla de cotización'!D44)</f>
        <v>M2</v>
      </c>
      <c r="D55" s="164">
        <f>IF('Plantilla de cotización'!E44="","",'Plantilla de cotización'!E44)</f>
        <v>0</v>
      </c>
      <c r="E55" s="164">
        <f>IF('Plantilla de cotización'!Q44="","",'Plantilla de cotización'!Q44)</f>
        <v>0</v>
      </c>
      <c r="F55" s="164">
        <f>IF('Plantilla de cotización'!R44="","",'Plantilla de cotización'!R44)</f>
        <v>0</v>
      </c>
    </row>
    <row r="56" spans="1:6" ht="18" customHeight="1" x14ac:dyDescent="0.25">
      <c r="A56" s="172">
        <f>IF('Plantilla de cotización'!B45="","",'Plantilla de cotización'!B45)</f>
        <v>3.02</v>
      </c>
      <c r="B56" s="163" t="str">
        <f>IF('Plantilla de cotización'!C45="","",'Plantilla de cotización'!C45)</f>
        <v/>
      </c>
      <c r="C56" s="162" t="str">
        <f>IF('Plantilla de cotización'!D45="","",'Plantilla de cotización'!D45)</f>
        <v>UND</v>
      </c>
      <c r="D56" s="164">
        <f>IF('Plantilla de cotización'!E45="","",'Plantilla de cotización'!E45)</f>
        <v>0</v>
      </c>
      <c r="E56" s="164">
        <f>IF('Plantilla de cotización'!Q45="","",'Plantilla de cotización'!Q45)</f>
        <v>0</v>
      </c>
      <c r="F56" s="164">
        <f>IF('Plantilla de cotización'!R45="","",'Plantilla de cotización'!R45)</f>
        <v>0</v>
      </c>
    </row>
    <row r="57" spans="1:6" ht="18" customHeight="1" x14ac:dyDescent="0.25">
      <c r="A57" s="172">
        <f>IF('Plantilla de cotización'!B46="","",'Plantilla de cotización'!B46)</f>
        <v>3.03</v>
      </c>
      <c r="B57" s="163" t="str">
        <f>IF('Plantilla de cotización'!C46="","",'Plantilla de cotización'!C46)</f>
        <v/>
      </c>
      <c r="C57" s="162" t="str">
        <f>IF('Plantilla de cotización'!D46="","",'Plantilla de cotización'!D46)</f>
        <v>M2</v>
      </c>
      <c r="D57" s="164">
        <f>IF('Plantilla de cotización'!E46="","",'Plantilla de cotización'!E46)</f>
        <v>0</v>
      </c>
      <c r="E57" s="164">
        <f>IF('Plantilla de cotización'!Q46="","",'Plantilla de cotización'!Q46)</f>
        <v>0</v>
      </c>
      <c r="F57" s="164">
        <f>IF('Plantilla de cotización'!R46="","",'Plantilla de cotización'!R46)</f>
        <v>0</v>
      </c>
    </row>
    <row r="58" spans="1:6" ht="18" customHeight="1" x14ac:dyDescent="0.25">
      <c r="A58" s="172">
        <f>IF('Plantilla de cotización'!B47="","",'Plantilla de cotización'!B47)</f>
        <v>3.04</v>
      </c>
      <c r="B58" s="163" t="str">
        <f>IF('Plantilla de cotización'!C47="","",'Plantilla de cotización'!C47)</f>
        <v/>
      </c>
      <c r="C58" s="162" t="str">
        <f>IF('Plantilla de cotización'!D47="","",'Plantilla de cotización'!D47)</f>
        <v>UND</v>
      </c>
      <c r="D58" s="164">
        <f>IF('Plantilla de cotización'!E47="","",'Plantilla de cotización'!E47)</f>
        <v>0</v>
      </c>
      <c r="E58" s="164">
        <f>IF('Plantilla de cotización'!Q47="","",'Plantilla de cotización'!Q47)</f>
        <v>0</v>
      </c>
      <c r="F58" s="164">
        <f>IF('Plantilla de cotización'!R47="","",'Plantilla de cotización'!R47)</f>
        <v>0</v>
      </c>
    </row>
    <row r="59" spans="1:6" ht="18" customHeight="1" x14ac:dyDescent="0.25">
      <c r="A59" s="172">
        <f>IF('Plantilla de cotización'!B48="","",'Plantilla de cotización'!B48)</f>
        <v>3.05</v>
      </c>
      <c r="B59" s="163" t="str">
        <f>IF('Plantilla de cotización'!C48="","",'Plantilla de cotización'!C48)</f>
        <v/>
      </c>
      <c r="C59" s="162" t="str">
        <f>IF('Plantilla de cotización'!D48="","",'Plantilla de cotización'!D48)</f>
        <v>M3</v>
      </c>
      <c r="D59" s="164">
        <f>IF('Plantilla de cotización'!E48="","",'Plantilla de cotización'!E48)</f>
        <v>0</v>
      </c>
      <c r="E59" s="164">
        <f>IF('Plantilla de cotización'!Q48="","",'Plantilla de cotización'!Q48)</f>
        <v>0</v>
      </c>
      <c r="F59" s="164">
        <f>IF('Plantilla de cotización'!R48="","",'Plantilla de cotización'!R48)</f>
        <v>0</v>
      </c>
    </row>
    <row r="60" spans="1:6" ht="18" customHeight="1" x14ac:dyDescent="0.25">
      <c r="A60" s="172">
        <f>IF('Plantilla de cotización'!B49="","",'Plantilla de cotización'!B49)</f>
        <v>1</v>
      </c>
      <c r="B60" s="163" t="str">
        <f>IF('Plantilla de cotización'!C49="","",'Plantilla de cotización'!C49)</f>
        <v/>
      </c>
      <c r="C60" s="162" t="str">
        <f>IF('Plantilla de cotización'!D49="","",'Plantilla de cotización'!D49)</f>
        <v/>
      </c>
      <c r="D60" s="164" t="str">
        <f>IF('Plantilla de cotización'!E49="","",'Plantilla de cotización'!E49)</f>
        <v/>
      </c>
      <c r="E60" s="164" t="str">
        <f>IF('Plantilla de cotización'!Q49="","",'Plantilla de cotización'!Q49)</f>
        <v/>
      </c>
      <c r="F60" s="164" t="str">
        <f>IF('Plantilla de cotización'!R49="","",'Plantilla de cotización'!R49)</f>
        <v/>
      </c>
    </row>
    <row r="61" spans="1:6" ht="18" customHeight="1" x14ac:dyDescent="0.25">
      <c r="A61" s="172">
        <f>IF('Plantilla de cotización'!B50="","",'Plantilla de cotización'!B50)</f>
        <v>1.01</v>
      </c>
      <c r="B61" s="163" t="str">
        <f>IF('Plantilla de cotización'!C50="","",'Plantilla de cotización'!C50)</f>
        <v/>
      </c>
      <c r="C61" s="162" t="str">
        <f>IF('Plantilla de cotización'!D50="","",'Plantilla de cotización'!D50)</f>
        <v>ML</v>
      </c>
      <c r="D61" s="164">
        <f>IF('Plantilla de cotización'!E50="","",'Plantilla de cotización'!E50)</f>
        <v>0</v>
      </c>
      <c r="E61" s="164">
        <f>IF('Plantilla de cotización'!Q50="","",'Plantilla de cotización'!Q50)</f>
        <v>0</v>
      </c>
      <c r="F61" s="164">
        <f>IF('Plantilla de cotización'!R50="","",'Plantilla de cotización'!R50)</f>
        <v>0</v>
      </c>
    </row>
    <row r="62" spans="1:6" ht="18" customHeight="1" x14ac:dyDescent="0.25">
      <c r="A62" s="172">
        <f>IF('Plantilla de cotización'!B51="","",'Plantilla de cotización'!B51)</f>
        <v>1.02</v>
      </c>
      <c r="B62" s="163" t="str">
        <f>IF('Plantilla de cotización'!C51="","",'Plantilla de cotización'!C51)</f>
        <v/>
      </c>
      <c r="C62" s="162" t="str">
        <f>IF('Plantilla de cotización'!D51="","",'Plantilla de cotización'!D51)</f>
        <v>ML</v>
      </c>
      <c r="D62" s="164">
        <f>IF('Plantilla de cotización'!E51="","",'Plantilla de cotización'!E51)</f>
        <v>0</v>
      </c>
      <c r="E62" s="164">
        <f>IF('Plantilla de cotización'!Q51="","",'Plantilla de cotización'!Q51)</f>
        <v>0</v>
      </c>
      <c r="F62" s="164">
        <f>IF('Plantilla de cotización'!R51="","",'Plantilla de cotización'!R51)</f>
        <v>0</v>
      </c>
    </row>
    <row r="63" spans="1:6" ht="18" customHeight="1" x14ac:dyDescent="0.25">
      <c r="A63" s="172">
        <f>IF('Plantilla de cotización'!B52="","",'Plantilla de cotización'!B52)</f>
        <v>1.03</v>
      </c>
      <c r="B63" s="163" t="str">
        <f>IF('Plantilla de cotización'!C52="","",'Plantilla de cotización'!C52)</f>
        <v/>
      </c>
      <c r="C63" s="162" t="str">
        <f>IF('Plantilla de cotización'!D52="","",'Plantilla de cotización'!D52)</f>
        <v>UND</v>
      </c>
      <c r="D63" s="164">
        <f>IF('Plantilla de cotización'!E52="","",'Plantilla de cotización'!E52)</f>
        <v>0</v>
      </c>
      <c r="E63" s="164">
        <f>IF('Plantilla de cotización'!Q52="","",'Plantilla de cotización'!Q52)</f>
        <v>0</v>
      </c>
      <c r="F63" s="164">
        <f>IF('Plantilla de cotización'!R52="","",'Plantilla de cotización'!R52)</f>
        <v>0</v>
      </c>
    </row>
    <row r="64" spans="1:6" ht="18" customHeight="1" x14ac:dyDescent="0.25">
      <c r="A64" s="172">
        <f>IF('Plantilla de cotización'!B53="","",'Plantilla de cotización'!B53)</f>
        <v>1.04</v>
      </c>
      <c r="B64" s="163" t="str">
        <f>IF('Plantilla de cotización'!C53="","",'Plantilla de cotización'!C53)</f>
        <v/>
      </c>
      <c r="C64" s="162" t="str">
        <f>IF('Plantilla de cotización'!D53="","",'Plantilla de cotización'!D53)</f>
        <v>ML</v>
      </c>
      <c r="D64" s="164">
        <f>IF('Plantilla de cotización'!E53="","",'Plantilla de cotización'!E53)</f>
        <v>10</v>
      </c>
      <c r="E64" s="164">
        <f>IF('Plantilla de cotización'!Q53="","",'Plantilla de cotización'!Q53)</f>
        <v>24.000000000000004</v>
      </c>
      <c r="F64" s="164">
        <f>IF('Plantilla de cotización'!R53="","",'Plantilla de cotización'!R53)</f>
        <v>240.00000000000003</v>
      </c>
    </row>
    <row r="66" spans="1:6" ht="18" customHeight="1" x14ac:dyDescent="0.25">
      <c r="A66" s="160"/>
      <c r="B66" s="160"/>
      <c r="C66" s="160"/>
      <c r="D66" s="160"/>
      <c r="E66" s="165" t="s">
        <v>62</v>
      </c>
      <c r="F66" s="166">
        <f>'Plantilla de cotización'!R54</f>
        <v>242.04000000000002</v>
      </c>
    </row>
    <row r="67" spans="1:6" ht="18" customHeight="1" x14ac:dyDescent="0.25">
      <c r="A67" s="160"/>
      <c r="B67" s="160"/>
      <c r="C67" s="160"/>
      <c r="D67" s="160"/>
      <c r="E67" s="167" t="s">
        <v>63</v>
      </c>
      <c r="F67" s="168">
        <f>'Plantilla de cotización'!R55</f>
        <v>43.5672</v>
      </c>
    </row>
    <row r="68" spans="1:6" ht="21.95" customHeight="1" x14ac:dyDescent="0.25">
      <c r="A68" s="160"/>
      <c r="B68" s="160"/>
      <c r="C68" s="160"/>
      <c r="D68" s="160"/>
      <c r="E68" s="169" t="s">
        <v>20</v>
      </c>
      <c r="F68" s="170">
        <f>'Plantilla de cotización'!R56</f>
        <v>285.60720000000003</v>
      </c>
    </row>
    <row r="70" spans="1:6" ht="14.1" customHeight="1" x14ac:dyDescent="0.25">
      <c r="A70" s="259" t="s">
        <v>64</v>
      </c>
      <c r="B70" s="234"/>
      <c r="C70" s="234"/>
      <c r="D70" s="234"/>
      <c r="E70" s="234"/>
      <c r="F70" s="234"/>
    </row>
  </sheetData>
  <sheetProtection sheet="1"/>
  <mergeCells count="24">
    <mergeCell ref="A1:F1"/>
    <mergeCell ref="A9:F11"/>
    <mergeCell ref="A70:F70"/>
    <mergeCell ref="B4:C4"/>
    <mergeCell ref="A3:F3"/>
    <mergeCell ref="E4:F4"/>
    <mergeCell ref="B2:C2"/>
    <mergeCell ref="A8:F8"/>
    <mergeCell ref="A21:F23"/>
    <mergeCell ref="A17:F19"/>
    <mergeCell ref="A20:F20"/>
    <mergeCell ref="E6:F6"/>
    <mergeCell ref="E2:F2"/>
    <mergeCell ref="A13:F15"/>
    <mergeCell ref="B6:C6"/>
    <mergeCell ref="E7:F7"/>
    <mergeCell ref="B5:C5"/>
    <mergeCell ref="A16:F16"/>
    <mergeCell ref="B7:C7"/>
    <mergeCell ref="A27:F27"/>
    <mergeCell ref="E5:F5"/>
    <mergeCell ref="A12:F12"/>
    <mergeCell ref="A25:F26"/>
    <mergeCell ref="A24:F24"/>
  </mergeCells>
  <pageMargins left="0.4" right="0.4" top="0.5" bottom="0.5" header="0.2" footer="0.2"/>
  <pageSetup fitToHeight="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7">
    <pageSetUpPr fitToPage="1"/>
  </sheetPr>
  <dimension ref="B2:X117"/>
  <sheetViews>
    <sheetView zoomScale="55" zoomScaleNormal="55" workbookViewId="0">
      <pane ySplit="15" topLeftCell="A16" activePane="bottomLeft" state="frozen"/>
      <selection pane="bottomLeft" activeCell="A19" sqref="A19"/>
    </sheetView>
  </sheetViews>
  <sheetFormatPr baseColWidth="10" defaultRowHeight="15" x14ac:dyDescent="0.25"/>
  <cols>
    <col min="2" max="2" width="16.140625" customWidth="1"/>
    <col min="3" max="3" width="51.42578125" customWidth="1"/>
    <col min="4" max="4" width="6.85546875" customWidth="1"/>
    <col min="5" max="5" width="7.85546875" bestFit="1" customWidth="1"/>
    <col min="6" max="6" width="24.42578125" customWidth="1"/>
    <col min="7" max="7" width="12.85546875" customWidth="1"/>
    <col min="8" max="8" width="16.5703125" customWidth="1"/>
    <col min="9" max="10" width="13.28515625" customWidth="1"/>
    <col min="11" max="11" width="13.140625" customWidth="1"/>
    <col min="12" max="12" width="12.5703125" customWidth="1"/>
    <col min="13" max="13" width="15.85546875" customWidth="1"/>
    <col min="14" max="14" width="11.85546875" bestFit="1" customWidth="1"/>
    <col min="17" max="17" width="22" bestFit="1" customWidth="1"/>
    <col min="18" max="18" width="11.85546875" bestFit="1" customWidth="1"/>
  </cols>
  <sheetData>
    <row r="2" spans="2:23" ht="15.75" customHeight="1" thickBot="1" x14ac:dyDescent="0.3">
      <c r="B2" s="171" t="s">
        <v>0</v>
      </c>
    </row>
    <row r="3" spans="2:23" ht="15.75" customHeight="1" thickBot="1" x14ac:dyDescent="0.3">
      <c r="B3" s="1"/>
      <c r="C3" s="2"/>
      <c r="D3" s="2"/>
      <c r="E3" s="2"/>
      <c r="F3" s="2"/>
      <c r="G3" s="2"/>
      <c r="H3" s="3"/>
    </row>
    <row r="4" spans="2:23" x14ac:dyDescent="0.25">
      <c r="B4" s="4"/>
      <c r="H4" s="5"/>
      <c r="L4" s="58" t="s">
        <v>1</v>
      </c>
      <c r="M4" s="60">
        <f>+R54</f>
        <v>242.04000000000002</v>
      </c>
      <c r="N4" s="61">
        <v>1</v>
      </c>
    </row>
    <row r="5" spans="2:23" ht="15.75" customHeight="1" thickBot="1" x14ac:dyDescent="0.3">
      <c r="B5" s="4"/>
      <c r="H5" s="5"/>
      <c r="L5" s="59" t="s">
        <v>2</v>
      </c>
      <c r="M5" s="62">
        <f>+N54</f>
        <v>202</v>
      </c>
      <c r="N5" s="63">
        <f>+M5/M4</f>
        <v>0.83457279788464711</v>
      </c>
    </row>
    <row r="6" spans="2:23" ht="15.75" customHeight="1" thickBot="1" x14ac:dyDescent="0.3">
      <c r="B6" s="4"/>
      <c r="H6" s="5"/>
      <c r="L6" s="64" t="s">
        <v>3</v>
      </c>
      <c r="M6" s="65">
        <f>+M4-M5</f>
        <v>40.04000000000002</v>
      </c>
      <c r="N6" s="66">
        <f>+M6/M4</f>
        <v>0.16542720211535292</v>
      </c>
    </row>
    <row r="7" spans="2:23" ht="31.5" customHeight="1" x14ac:dyDescent="0.25">
      <c r="B7" s="233" t="s">
        <v>4</v>
      </c>
      <c r="C7" s="234"/>
      <c r="D7" s="234"/>
      <c r="E7" s="234"/>
      <c r="F7" s="234"/>
      <c r="G7" s="234"/>
      <c r="H7" s="235"/>
      <c r="N7" s="6"/>
    </row>
    <row r="8" spans="2:23" x14ac:dyDescent="0.25">
      <c r="B8" s="4"/>
      <c r="H8" s="5"/>
      <c r="N8" s="6"/>
    </row>
    <row r="9" spans="2:23" x14ac:dyDescent="0.25">
      <c r="B9" s="4"/>
      <c r="H9" s="5"/>
    </row>
    <row r="10" spans="2:23" x14ac:dyDescent="0.25">
      <c r="B10" s="4"/>
      <c r="H10" s="5"/>
      <c r="W10" s="29"/>
    </row>
    <row r="11" spans="2:23" x14ac:dyDescent="0.25">
      <c r="B11" s="4"/>
      <c r="H11" s="5"/>
      <c r="W11" s="29"/>
    </row>
    <row r="12" spans="2:23" x14ac:dyDescent="0.25">
      <c r="B12" s="4"/>
      <c r="H12" s="5"/>
      <c r="W12" s="29"/>
    </row>
    <row r="13" spans="2:23" ht="15.75" customHeight="1" thickBot="1" x14ac:dyDescent="0.3">
      <c r="B13" s="4"/>
      <c r="H13" s="5"/>
      <c r="W13" s="29"/>
    </row>
    <row r="14" spans="2:23" ht="15" customHeight="1" x14ac:dyDescent="0.25">
      <c r="B14" s="89" t="s">
        <v>5</v>
      </c>
      <c r="C14" s="236" t="s">
        <v>6</v>
      </c>
      <c r="D14" s="238" t="s">
        <v>7</v>
      </c>
      <c r="E14" s="236" t="s">
        <v>8</v>
      </c>
      <c r="F14" s="239" t="s">
        <v>9</v>
      </c>
      <c r="G14" s="236" t="s">
        <v>10</v>
      </c>
      <c r="H14" s="238" t="s">
        <v>11</v>
      </c>
      <c r="I14" s="221" t="s">
        <v>12</v>
      </c>
      <c r="J14" s="237" t="s">
        <v>13</v>
      </c>
      <c r="K14" s="237" t="s">
        <v>14</v>
      </c>
      <c r="L14" s="231" t="s">
        <v>15</v>
      </c>
      <c r="M14" s="221" t="s">
        <v>16</v>
      </c>
      <c r="N14" s="221" t="s">
        <v>17</v>
      </c>
      <c r="O14" s="237" t="s">
        <v>18</v>
      </c>
      <c r="P14" s="240" t="s">
        <v>19</v>
      </c>
      <c r="Q14" s="221" t="s">
        <v>9</v>
      </c>
      <c r="R14" s="221" t="s">
        <v>20</v>
      </c>
      <c r="S14" s="223" t="s">
        <v>21</v>
      </c>
      <c r="W14" s="29"/>
    </row>
    <row r="15" spans="2:23" ht="26.25" customHeight="1" thickBot="1" x14ac:dyDescent="0.3">
      <c r="B15" s="90" t="s">
        <v>22</v>
      </c>
      <c r="C15" s="234"/>
      <c r="D15" s="222"/>
      <c r="E15" s="234"/>
      <c r="F15" s="222"/>
      <c r="G15" s="234"/>
      <c r="H15" s="222"/>
      <c r="I15" s="222"/>
      <c r="J15" s="222"/>
      <c r="K15" s="222"/>
      <c r="L15" s="232"/>
      <c r="M15" s="222"/>
      <c r="N15" s="222"/>
      <c r="O15" s="222"/>
      <c r="P15" s="224"/>
      <c r="Q15" s="222"/>
      <c r="R15" s="222"/>
      <c r="S15" s="224"/>
      <c r="W15" s="29"/>
    </row>
    <row r="16" spans="2:23" ht="16.5" customHeight="1" thickBot="1" x14ac:dyDescent="0.3">
      <c r="B16" s="41"/>
      <c r="C16" s="33"/>
      <c r="D16" s="31"/>
      <c r="E16" s="31"/>
      <c r="F16" s="31"/>
      <c r="G16" s="31"/>
      <c r="H16" s="30"/>
      <c r="I16" s="1"/>
      <c r="J16" s="2"/>
      <c r="K16" s="2"/>
      <c r="L16" s="45"/>
      <c r="M16" s="2"/>
      <c r="N16" s="2"/>
      <c r="O16" s="2"/>
      <c r="P16" s="2"/>
      <c r="Q16" s="2"/>
      <c r="R16" s="2"/>
      <c r="S16" s="3"/>
      <c r="W16" s="29"/>
    </row>
    <row r="17" spans="2:23" ht="15.75" customHeight="1" thickBot="1" x14ac:dyDescent="0.3">
      <c r="B17" s="91">
        <v>1</v>
      </c>
      <c r="C17" s="92"/>
      <c r="D17" s="93"/>
      <c r="E17" s="93"/>
      <c r="F17" s="93"/>
      <c r="G17" s="94"/>
      <c r="H17" s="103">
        <f>SUM(G18:G42)</f>
        <v>2.04</v>
      </c>
      <c r="I17" s="4"/>
      <c r="S17" s="5"/>
      <c r="W17" s="29"/>
    </row>
    <row r="18" spans="2:23" s="7" customFormat="1" x14ac:dyDescent="0.25">
      <c r="B18" s="42">
        <v>1.01</v>
      </c>
      <c r="C18" s="173"/>
      <c r="D18" s="174" t="s">
        <v>23</v>
      </c>
      <c r="E18" s="175">
        <v>1</v>
      </c>
      <c r="F18" s="35">
        <f t="shared" ref="F18:F23" si="0">+Q18</f>
        <v>2.04</v>
      </c>
      <c r="G18" s="36">
        <f t="shared" ref="G18:G23" si="1">+F18*E18</f>
        <v>2.04</v>
      </c>
      <c r="H18" s="104"/>
      <c r="I18" s="176" t="s">
        <v>24</v>
      </c>
      <c r="J18" s="177">
        <v>1</v>
      </c>
      <c r="K18" s="178">
        <v>1</v>
      </c>
      <c r="L18" s="69">
        <f t="shared" ref="L18:L23" si="2">J18+K18</f>
        <v>2</v>
      </c>
      <c r="M18" s="47">
        <f t="shared" ref="M18:M23" si="3">+E18</f>
        <v>1</v>
      </c>
      <c r="N18" s="114">
        <f t="shared" ref="N18:N23" si="4">+M18*L18</f>
        <v>2</v>
      </c>
      <c r="O18" s="179">
        <v>0.01</v>
      </c>
      <c r="P18" s="176">
        <v>0.01</v>
      </c>
      <c r="Q18" s="127">
        <f t="shared" ref="Q18:Q23" si="5">L18*(100%+O18+P18)</f>
        <v>2.04</v>
      </c>
      <c r="R18" s="127">
        <f t="shared" ref="R18:R23" si="6">+Q18*M18:M18</f>
        <v>2.04</v>
      </c>
      <c r="S18" s="118">
        <f t="shared" ref="S18:S23" si="7">+R18-N18</f>
        <v>4.0000000000000036E-2</v>
      </c>
      <c r="V18" s="8"/>
      <c r="W18" s="29"/>
    </row>
    <row r="19" spans="2:23" s="7" customFormat="1" x14ac:dyDescent="0.25">
      <c r="B19" s="43">
        <v>1.02</v>
      </c>
      <c r="C19" s="180"/>
      <c r="D19" s="181" t="s">
        <v>25</v>
      </c>
      <c r="E19" s="182">
        <v>0</v>
      </c>
      <c r="F19" s="37">
        <f t="shared" si="0"/>
        <v>0</v>
      </c>
      <c r="G19" s="38">
        <f t="shared" si="1"/>
        <v>0</v>
      </c>
      <c r="H19" s="105"/>
      <c r="I19" s="183"/>
      <c r="J19" s="184">
        <v>0</v>
      </c>
      <c r="K19" s="185">
        <v>0</v>
      </c>
      <c r="L19" s="70">
        <f t="shared" si="2"/>
        <v>0</v>
      </c>
      <c r="M19" s="49">
        <f t="shared" si="3"/>
        <v>0</v>
      </c>
      <c r="N19" s="115">
        <f t="shared" si="4"/>
        <v>0</v>
      </c>
      <c r="O19" s="186">
        <v>0</v>
      </c>
      <c r="P19" s="183">
        <v>0</v>
      </c>
      <c r="Q19" s="128">
        <f t="shared" si="5"/>
        <v>0</v>
      </c>
      <c r="R19" s="128">
        <f t="shared" si="6"/>
        <v>0</v>
      </c>
      <c r="S19" s="119">
        <f t="shared" si="7"/>
        <v>0</v>
      </c>
      <c r="V19" s="8"/>
      <c r="W19" s="29"/>
    </row>
    <row r="20" spans="2:23" s="7" customFormat="1" x14ac:dyDescent="0.25">
      <c r="B20" s="43">
        <v>1.03</v>
      </c>
      <c r="C20" s="187"/>
      <c r="D20" s="181" t="s">
        <v>26</v>
      </c>
      <c r="E20" s="182">
        <v>0</v>
      </c>
      <c r="F20" s="37">
        <f t="shared" si="0"/>
        <v>0</v>
      </c>
      <c r="G20" s="38">
        <f t="shared" si="1"/>
        <v>0</v>
      </c>
      <c r="H20" s="105"/>
      <c r="I20" s="183"/>
      <c r="J20" s="184">
        <v>0</v>
      </c>
      <c r="K20" s="185">
        <v>0</v>
      </c>
      <c r="L20" s="70">
        <f t="shared" si="2"/>
        <v>0</v>
      </c>
      <c r="M20" s="49">
        <f t="shared" si="3"/>
        <v>0</v>
      </c>
      <c r="N20" s="115">
        <f t="shared" si="4"/>
        <v>0</v>
      </c>
      <c r="O20" s="186">
        <v>0</v>
      </c>
      <c r="P20" s="183">
        <v>0</v>
      </c>
      <c r="Q20" s="128">
        <f t="shared" si="5"/>
        <v>0</v>
      </c>
      <c r="R20" s="128">
        <f t="shared" si="6"/>
        <v>0</v>
      </c>
      <c r="S20" s="119">
        <f t="shared" si="7"/>
        <v>0</v>
      </c>
      <c r="V20" s="8"/>
      <c r="W20" s="29"/>
    </row>
    <row r="21" spans="2:23" s="7" customFormat="1" x14ac:dyDescent="0.25">
      <c r="B21" s="43">
        <v>1.04</v>
      </c>
      <c r="C21" s="180"/>
      <c r="D21" s="181" t="s">
        <v>25</v>
      </c>
      <c r="E21" s="182">
        <v>0</v>
      </c>
      <c r="F21" s="37">
        <f t="shared" si="0"/>
        <v>0</v>
      </c>
      <c r="G21" s="38">
        <f t="shared" si="1"/>
        <v>0</v>
      </c>
      <c r="H21" s="105"/>
      <c r="I21" s="183"/>
      <c r="J21" s="184">
        <v>0</v>
      </c>
      <c r="K21" s="185">
        <v>0</v>
      </c>
      <c r="L21" s="70">
        <f t="shared" si="2"/>
        <v>0</v>
      </c>
      <c r="M21" s="49">
        <f t="shared" si="3"/>
        <v>0</v>
      </c>
      <c r="N21" s="115">
        <f t="shared" si="4"/>
        <v>0</v>
      </c>
      <c r="O21" s="186">
        <v>0</v>
      </c>
      <c r="P21" s="183">
        <v>0</v>
      </c>
      <c r="Q21" s="128">
        <f t="shared" si="5"/>
        <v>0</v>
      </c>
      <c r="R21" s="128">
        <f t="shared" si="6"/>
        <v>0</v>
      </c>
      <c r="S21" s="119">
        <f t="shared" si="7"/>
        <v>0</v>
      </c>
      <c r="V21" s="8"/>
      <c r="W21" s="29"/>
    </row>
    <row r="22" spans="2:23" s="7" customFormat="1" x14ac:dyDescent="0.25">
      <c r="B22" s="43">
        <v>1.05</v>
      </c>
      <c r="C22" s="180"/>
      <c r="D22" s="181" t="s">
        <v>25</v>
      </c>
      <c r="E22" s="182">
        <v>0</v>
      </c>
      <c r="F22" s="37">
        <f t="shared" si="0"/>
        <v>0</v>
      </c>
      <c r="G22" s="38">
        <f t="shared" si="1"/>
        <v>0</v>
      </c>
      <c r="H22" s="105"/>
      <c r="I22" s="183"/>
      <c r="J22" s="184">
        <v>0</v>
      </c>
      <c r="K22" s="185">
        <v>0</v>
      </c>
      <c r="L22" s="70">
        <f t="shared" si="2"/>
        <v>0</v>
      </c>
      <c r="M22" s="49">
        <f t="shared" si="3"/>
        <v>0</v>
      </c>
      <c r="N22" s="115">
        <f t="shared" si="4"/>
        <v>0</v>
      </c>
      <c r="O22" s="186">
        <v>0</v>
      </c>
      <c r="P22" s="183">
        <v>0</v>
      </c>
      <c r="Q22" s="128">
        <f t="shared" si="5"/>
        <v>0</v>
      </c>
      <c r="R22" s="128">
        <f t="shared" si="6"/>
        <v>0</v>
      </c>
      <c r="S22" s="119">
        <f t="shared" si="7"/>
        <v>0</v>
      </c>
      <c r="V22" s="8"/>
      <c r="W22" s="29"/>
    </row>
    <row r="23" spans="2:23" s="7" customFormat="1" ht="15.75" customHeight="1" thickBot="1" x14ac:dyDescent="0.3">
      <c r="B23" s="44">
        <v>1.06</v>
      </c>
      <c r="C23" s="188"/>
      <c r="D23" s="181" t="s">
        <v>25</v>
      </c>
      <c r="E23" s="189">
        <v>0</v>
      </c>
      <c r="F23" s="37">
        <f t="shared" si="0"/>
        <v>0</v>
      </c>
      <c r="G23" s="38">
        <f t="shared" si="1"/>
        <v>0</v>
      </c>
      <c r="H23" s="105"/>
      <c r="I23" s="190"/>
      <c r="J23" s="191">
        <v>0</v>
      </c>
      <c r="K23" s="192">
        <v>0</v>
      </c>
      <c r="L23" s="71">
        <f t="shared" si="2"/>
        <v>0</v>
      </c>
      <c r="M23" s="50">
        <f t="shared" si="3"/>
        <v>0</v>
      </c>
      <c r="N23" s="116">
        <f t="shared" si="4"/>
        <v>0</v>
      </c>
      <c r="O23" s="193">
        <v>0</v>
      </c>
      <c r="P23" s="190">
        <v>0</v>
      </c>
      <c r="Q23" s="129">
        <f t="shared" si="5"/>
        <v>0</v>
      </c>
      <c r="R23" s="129">
        <f t="shared" si="6"/>
        <v>0</v>
      </c>
      <c r="S23" s="120">
        <f t="shared" si="7"/>
        <v>0</v>
      </c>
      <c r="V23" s="8"/>
      <c r="W23" s="29"/>
    </row>
    <row r="24" spans="2:23" s="7" customFormat="1" ht="15.75" customHeight="1" thickBot="1" x14ac:dyDescent="0.3">
      <c r="B24" s="91">
        <v>2</v>
      </c>
      <c r="C24" s="194"/>
      <c r="D24" s="194"/>
      <c r="E24" s="194"/>
      <c r="F24" s="93"/>
      <c r="G24" s="94"/>
      <c r="H24" s="106">
        <f>SUM(G25:G57)</f>
        <v>240.00000000000003</v>
      </c>
      <c r="I24" s="195"/>
      <c r="J24" s="196"/>
      <c r="K24" s="196"/>
      <c r="L24" s="67"/>
      <c r="M24" s="67"/>
      <c r="N24" s="117"/>
      <c r="O24" s="197"/>
      <c r="P24" s="198"/>
      <c r="Q24" s="135"/>
      <c r="R24" s="136"/>
      <c r="S24" s="137"/>
      <c r="V24" s="8"/>
      <c r="W24" s="29"/>
    </row>
    <row r="25" spans="2:23" s="7" customFormat="1" x14ac:dyDescent="0.25">
      <c r="B25" s="42">
        <v>2.0099999999999998</v>
      </c>
      <c r="C25" s="173"/>
      <c r="D25" s="174" t="s">
        <v>27</v>
      </c>
      <c r="E25" s="175">
        <v>0</v>
      </c>
      <c r="F25" s="35">
        <f t="shared" ref="F25:F42" si="8">+Q25</f>
        <v>0</v>
      </c>
      <c r="G25" s="36">
        <f t="shared" ref="G25:G42" si="9">+F25*E25</f>
        <v>0</v>
      </c>
      <c r="H25" s="107"/>
      <c r="I25" s="176"/>
      <c r="J25" s="199">
        <v>0</v>
      </c>
      <c r="K25" s="178">
        <v>0</v>
      </c>
      <c r="L25" s="46">
        <f t="shared" ref="L25:L42" si="10">J25+K25</f>
        <v>0</v>
      </c>
      <c r="M25" s="47">
        <f t="shared" ref="M25:M42" si="11">+E25</f>
        <v>0</v>
      </c>
      <c r="N25" s="118">
        <f t="shared" ref="N25:N42" si="12">+M25*L25</f>
        <v>0</v>
      </c>
      <c r="O25" s="179">
        <v>0</v>
      </c>
      <c r="P25" s="176">
        <v>0</v>
      </c>
      <c r="Q25" s="127">
        <f t="shared" ref="Q25:Q42" si="13">L25*(100%+O25+P25)</f>
        <v>0</v>
      </c>
      <c r="R25" s="127">
        <f t="shared" ref="R25:R42" si="14">+Q25*M25:M25</f>
        <v>0</v>
      </c>
      <c r="S25" s="118">
        <f t="shared" ref="S25:S42" si="15">+R25-N25</f>
        <v>0</v>
      </c>
      <c r="W25" s="29"/>
    </row>
    <row r="26" spans="2:23" s="7" customFormat="1" x14ac:dyDescent="0.25">
      <c r="B26" s="43">
        <v>2.02</v>
      </c>
      <c r="C26" s="200"/>
      <c r="D26" s="201" t="s">
        <v>25</v>
      </c>
      <c r="E26" s="202">
        <v>0</v>
      </c>
      <c r="F26" s="39">
        <f t="shared" si="8"/>
        <v>0</v>
      </c>
      <c r="G26" s="72">
        <f t="shared" si="9"/>
        <v>0</v>
      </c>
      <c r="H26" s="108"/>
      <c r="I26" s="183"/>
      <c r="J26" s="203">
        <v>0</v>
      </c>
      <c r="K26" s="185">
        <v>0</v>
      </c>
      <c r="L26" s="48">
        <f t="shared" si="10"/>
        <v>0</v>
      </c>
      <c r="M26" s="49">
        <f t="shared" si="11"/>
        <v>0</v>
      </c>
      <c r="N26" s="119">
        <f t="shared" si="12"/>
        <v>0</v>
      </c>
      <c r="O26" s="186">
        <v>0</v>
      </c>
      <c r="P26" s="183">
        <v>0</v>
      </c>
      <c r="Q26" s="128">
        <f t="shared" si="13"/>
        <v>0</v>
      </c>
      <c r="R26" s="128">
        <f t="shared" si="14"/>
        <v>0</v>
      </c>
      <c r="S26" s="119">
        <f t="shared" si="15"/>
        <v>0</v>
      </c>
      <c r="W26" s="29"/>
    </row>
    <row r="27" spans="2:23" s="7" customFormat="1" x14ac:dyDescent="0.2">
      <c r="B27" s="43">
        <v>2.0299999999999998</v>
      </c>
      <c r="C27" s="200"/>
      <c r="D27" s="201" t="s">
        <v>25</v>
      </c>
      <c r="E27" s="202">
        <v>0</v>
      </c>
      <c r="F27" s="39">
        <f t="shared" si="8"/>
        <v>0</v>
      </c>
      <c r="G27" s="72">
        <f t="shared" si="9"/>
        <v>0</v>
      </c>
      <c r="H27" s="108"/>
      <c r="I27" s="204"/>
      <c r="J27" s="205">
        <v>0</v>
      </c>
      <c r="K27" s="206">
        <v>0</v>
      </c>
      <c r="L27" s="48">
        <f t="shared" si="10"/>
        <v>0</v>
      </c>
      <c r="M27" s="49">
        <f t="shared" si="11"/>
        <v>0</v>
      </c>
      <c r="N27" s="119">
        <f t="shared" si="12"/>
        <v>0</v>
      </c>
      <c r="O27" s="186">
        <v>0</v>
      </c>
      <c r="P27" s="183">
        <v>0</v>
      </c>
      <c r="Q27" s="128">
        <f t="shared" si="13"/>
        <v>0</v>
      </c>
      <c r="R27" s="128">
        <f t="shared" si="14"/>
        <v>0</v>
      </c>
      <c r="S27" s="119">
        <f t="shared" si="15"/>
        <v>0</v>
      </c>
    </row>
    <row r="28" spans="2:23" s="7" customFormat="1" x14ac:dyDescent="0.2">
      <c r="B28" s="43">
        <v>2.04</v>
      </c>
      <c r="C28" s="200"/>
      <c r="D28" s="201" t="s">
        <v>28</v>
      </c>
      <c r="E28" s="202">
        <v>0</v>
      </c>
      <c r="F28" s="39">
        <f t="shared" si="8"/>
        <v>0</v>
      </c>
      <c r="G28" s="72">
        <f t="shared" si="9"/>
        <v>0</v>
      </c>
      <c r="H28" s="108"/>
      <c r="I28" s="183"/>
      <c r="J28" s="203">
        <v>0</v>
      </c>
      <c r="K28" s="185">
        <v>0</v>
      </c>
      <c r="L28" s="48">
        <f t="shared" si="10"/>
        <v>0</v>
      </c>
      <c r="M28" s="49">
        <f t="shared" si="11"/>
        <v>0</v>
      </c>
      <c r="N28" s="119">
        <f t="shared" si="12"/>
        <v>0</v>
      </c>
      <c r="O28" s="186">
        <v>0</v>
      </c>
      <c r="P28" s="183">
        <v>0</v>
      </c>
      <c r="Q28" s="128">
        <f t="shared" si="13"/>
        <v>0</v>
      </c>
      <c r="R28" s="128">
        <f t="shared" si="14"/>
        <v>0</v>
      </c>
      <c r="S28" s="119">
        <f t="shared" si="15"/>
        <v>0</v>
      </c>
    </row>
    <row r="29" spans="2:23" s="7" customFormat="1" x14ac:dyDescent="0.2">
      <c r="B29" s="43">
        <v>2.0499999999999998</v>
      </c>
      <c r="C29" s="200"/>
      <c r="D29" s="201" t="s">
        <v>28</v>
      </c>
      <c r="E29" s="202">
        <v>0</v>
      </c>
      <c r="F29" s="39">
        <f t="shared" si="8"/>
        <v>0</v>
      </c>
      <c r="G29" s="72">
        <f t="shared" si="9"/>
        <v>0</v>
      </c>
      <c r="H29" s="108"/>
      <c r="I29" s="183"/>
      <c r="J29" s="203">
        <v>0</v>
      </c>
      <c r="K29" s="185">
        <v>0</v>
      </c>
      <c r="L29" s="48">
        <f t="shared" si="10"/>
        <v>0</v>
      </c>
      <c r="M29" s="49">
        <f t="shared" si="11"/>
        <v>0</v>
      </c>
      <c r="N29" s="119">
        <f t="shared" si="12"/>
        <v>0</v>
      </c>
      <c r="O29" s="186">
        <v>0</v>
      </c>
      <c r="P29" s="183">
        <v>0</v>
      </c>
      <c r="Q29" s="128">
        <f t="shared" si="13"/>
        <v>0</v>
      </c>
      <c r="R29" s="128">
        <f t="shared" si="14"/>
        <v>0</v>
      </c>
      <c r="S29" s="119">
        <f t="shared" si="15"/>
        <v>0</v>
      </c>
    </row>
    <row r="30" spans="2:23" s="7" customFormat="1" x14ac:dyDescent="0.2">
      <c r="B30" s="43">
        <v>2.06</v>
      </c>
      <c r="C30" s="200"/>
      <c r="D30" s="201" t="s">
        <v>26</v>
      </c>
      <c r="E30" s="202">
        <v>0</v>
      </c>
      <c r="F30" s="39">
        <f t="shared" si="8"/>
        <v>0</v>
      </c>
      <c r="G30" s="72">
        <f t="shared" si="9"/>
        <v>0</v>
      </c>
      <c r="H30" s="108"/>
      <c r="I30" s="183"/>
      <c r="J30" s="203">
        <v>0</v>
      </c>
      <c r="K30" s="185">
        <v>0</v>
      </c>
      <c r="L30" s="48">
        <f t="shared" si="10"/>
        <v>0</v>
      </c>
      <c r="M30" s="49">
        <f t="shared" si="11"/>
        <v>0</v>
      </c>
      <c r="N30" s="119">
        <f t="shared" si="12"/>
        <v>0</v>
      </c>
      <c r="O30" s="186">
        <v>0</v>
      </c>
      <c r="P30" s="183">
        <v>0</v>
      </c>
      <c r="Q30" s="128">
        <f t="shared" si="13"/>
        <v>0</v>
      </c>
      <c r="R30" s="128">
        <f t="shared" si="14"/>
        <v>0</v>
      </c>
      <c r="S30" s="119">
        <f t="shared" si="15"/>
        <v>0</v>
      </c>
    </row>
    <row r="31" spans="2:23" s="7" customFormat="1" x14ac:dyDescent="0.2">
      <c r="B31" s="43">
        <v>2.0699999999999998</v>
      </c>
      <c r="C31" s="200"/>
      <c r="D31" s="201" t="s">
        <v>7</v>
      </c>
      <c r="E31" s="202">
        <v>0</v>
      </c>
      <c r="F31" s="39">
        <f t="shared" si="8"/>
        <v>0</v>
      </c>
      <c r="G31" s="72">
        <f t="shared" si="9"/>
        <v>0</v>
      </c>
      <c r="H31" s="108"/>
      <c r="I31" s="183"/>
      <c r="J31" s="203">
        <v>0</v>
      </c>
      <c r="K31" s="185">
        <v>0</v>
      </c>
      <c r="L31" s="48">
        <f t="shared" si="10"/>
        <v>0</v>
      </c>
      <c r="M31" s="49">
        <f t="shared" si="11"/>
        <v>0</v>
      </c>
      <c r="N31" s="119">
        <f t="shared" si="12"/>
        <v>0</v>
      </c>
      <c r="O31" s="186">
        <v>0</v>
      </c>
      <c r="P31" s="183">
        <v>0</v>
      </c>
      <c r="Q31" s="128">
        <f t="shared" si="13"/>
        <v>0</v>
      </c>
      <c r="R31" s="128">
        <f t="shared" si="14"/>
        <v>0</v>
      </c>
      <c r="S31" s="119">
        <f t="shared" si="15"/>
        <v>0</v>
      </c>
    </row>
    <row r="32" spans="2:23" s="7" customFormat="1" x14ac:dyDescent="0.2">
      <c r="B32" s="43">
        <v>2.08</v>
      </c>
      <c r="C32" s="200"/>
      <c r="D32" s="201" t="s">
        <v>7</v>
      </c>
      <c r="E32" s="202">
        <v>0</v>
      </c>
      <c r="F32" s="39">
        <f t="shared" si="8"/>
        <v>0</v>
      </c>
      <c r="G32" s="72">
        <f t="shared" si="9"/>
        <v>0</v>
      </c>
      <c r="H32" s="108"/>
      <c r="I32" s="183"/>
      <c r="J32" s="203">
        <v>0</v>
      </c>
      <c r="K32" s="185">
        <v>0</v>
      </c>
      <c r="L32" s="48">
        <f t="shared" si="10"/>
        <v>0</v>
      </c>
      <c r="M32" s="49">
        <f t="shared" si="11"/>
        <v>0</v>
      </c>
      <c r="N32" s="119">
        <f t="shared" si="12"/>
        <v>0</v>
      </c>
      <c r="O32" s="186">
        <v>0</v>
      </c>
      <c r="P32" s="183">
        <v>0</v>
      </c>
      <c r="Q32" s="128">
        <f t="shared" si="13"/>
        <v>0</v>
      </c>
      <c r="R32" s="128">
        <f t="shared" si="14"/>
        <v>0</v>
      </c>
      <c r="S32" s="119">
        <f t="shared" si="15"/>
        <v>0</v>
      </c>
    </row>
    <row r="33" spans="2:23" s="7" customFormat="1" x14ac:dyDescent="0.2">
      <c r="B33" s="43">
        <v>2.09</v>
      </c>
      <c r="C33" s="200"/>
      <c r="D33" s="201" t="s">
        <v>28</v>
      </c>
      <c r="E33" s="202">
        <v>0</v>
      </c>
      <c r="F33" s="39">
        <f t="shared" si="8"/>
        <v>0</v>
      </c>
      <c r="G33" s="72">
        <f t="shared" si="9"/>
        <v>0</v>
      </c>
      <c r="H33" s="108"/>
      <c r="I33" s="183"/>
      <c r="J33" s="203">
        <v>0</v>
      </c>
      <c r="K33" s="185">
        <v>0</v>
      </c>
      <c r="L33" s="48">
        <f t="shared" si="10"/>
        <v>0</v>
      </c>
      <c r="M33" s="49">
        <f t="shared" si="11"/>
        <v>0</v>
      </c>
      <c r="N33" s="119">
        <f t="shared" si="12"/>
        <v>0</v>
      </c>
      <c r="O33" s="186">
        <v>0</v>
      </c>
      <c r="P33" s="183">
        <v>0</v>
      </c>
      <c r="Q33" s="128">
        <f t="shared" si="13"/>
        <v>0</v>
      </c>
      <c r="R33" s="128">
        <f t="shared" si="14"/>
        <v>0</v>
      </c>
      <c r="S33" s="119">
        <f t="shared" si="15"/>
        <v>0</v>
      </c>
    </row>
    <row r="34" spans="2:23" s="7" customFormat="1" x14ac:dyDescent="0.25">
      <c r="B34" s="43">
        <v>2.1</v>
      </c>
      <c r="C34" s="207"/>
      <c r="D34" s="201" t="s">
        <v>28</v>
      </c>
      <c r="E34" s="202">
        <v>0</v>
      </c>
      <c r="F34" s="39">
        <f t="shared" si="8"/>
        <v>0</v>
      </c>
      <c r="G34" s="72">
        <f t="shared" si="9"/>
        <v>0</v>
      </c>
      <c r="H34" s="108"/>
      <c r="I34" s="183"/>
      <c r="J34" s="203">
        <v>0</v>
      </c>
      <c r="K34" s="185">
        <v>0</v>
      </c>
      <c r="L34" s="48">
        <f t="shared" si="10"/>
        <v>0</v>
      </c>
      <c r="M34" s="49">
        <f t="shared" si="11"/>
        <v>0</v>
      </c>
      <c r="N34" s="119">
        <f t="shared" si="12"/>
        <v>0</v>
      </c>
      <c r="O34" s="186">
        <v>0</v>
      </c>
      <c r="P34" s="183">
        <v>0</v>
      </c>
      <c r="Q34" s="128">
        <f t="shared" si="13"/>
        <v>0</v>
      </c>
      <c r="R34" s="128">
        <f t="shared" si="14"/>
        <v>0</v>
      </c>
      <c r="S34" s="119">
        <f t="shared" si="15"/>
        <v>0</v>
      </c>
    </row>
    <row r="35" spans="2:23" s="7" customFormat="1" x14ac:dyDescent="0.25">
      <c r="B35" s="43">
        <v>2.11</v>
      </c>
      <c r="C35" s="207"/>
      <c r="D35" s="201" t="s">
        <v>26</v>
      </c>
      <c r="E35" s="202">
        <v>0</v>
      </c>
      <c r="F35" s="39">
        <f t="shared" si="8"/>
        <v>0</v>
      </c>
      <c r="G35" s="72">
        <f t="shared" si="9"/>
        <v>0</v>
      </c>
      <c r="H35" s="108"/>
      <c r="I35" s="183"/>
      <c r="J35" s="203">
        <v>0</v>
      </c>
      <c r="K35" s="185">
        <v>0</v>
      </c>
      <c r="L35" s="48">
        <f t="shared" si="10"/>
        <v>0</v>
      </c>
      <c r="M35" s="49">
        <f t="shared" si="11"/>
        <v>0</v>
      </c>
      <c r="N35" s="119">
        <f t="shared" si="12"/>
        <v>0</v>
      </c>
      <c r="O35" s="186">
        <v>0</v>
      </c>
      <c r="P35" s="183">
        <v>0</v>
      </c>
      <c r="Q35" s="128">
        <f t="shared" si="13"/>
        <v>0</v>
      </c>
      <c r="R35" s="128">
        <f t="shared" si="14"/>
        <v>0</v>
      </c>
      <c r="S35" s="119">
        <f t="shared" si="15"/>
        <v>0</v>
      </c>
    </row>
    <row r="36" spans="2:23" ht="15.75" customHeight="1" x14ac:dyDescent="0.25">
      <c r="B36" s="43">
        <v>2.12</v>
      </c>
      <c r="C36" s="207"/>
      <c r="D36" s="201" t="s">
        <v>26</v>
      </c>
      <c r="E36" s="202">
        <v>0</v>
      </c>
      <c r="F36" s="39">
        <f t="shared" si="8"/>
        <v>0</v>
      </c>
      <c r="G36" s="72">
        <f t="shared" si="9"/>
        <v>0</v>
      </c>
      <c r="H36" s="108"/>
      <c r="I36" s="183"/>
      <c r="J36" s="203">
        <v>0</v>
      </c>
      <c r="K36" s="185">
        <v>0</v>
      </c>
      <c r="L36" s="48">
        <f t="shared" si="10"/>
        <v>0</v>
      </c>
      <c r="M36" s="49">
        <f t="shared" si="11"/>
        <v>0</v>
      </c>
      <c r="N36" s="119">
        <f t="shared" si="12"/>
        <v>0</v>
      </c>
      <c r="O36" s="186">
        <v>0</v>
      </c>
      <c r="P36" s="183">
        <v>0</v>
      </c>
      <c r="Q36" s="128">
        <f t="shared" si="13"/>
        <v>0</v>
      </c>
      <c r="R36" s="128">
        <f t="shared" si="14"/>
        <v>0</v>
      </c>
      <c r="S36" s="119">
        <f t="shared" si="15"/>
        <v>0</v>
      </c>
      <c r="T36" s="9"/>
    </row>
    <row r="37" spans="2:23" s="7" customFormat="1" x14ac:dyDescent="0.2">
      <c r="B37" s="43">
        <v>2.13</v>
      </c>
      <c r="C37" s="200"/>
      <c r="D37" s="201" t="s">
        <v>26</v>
      </c>
      <c r="E37" s="202">
        <v>0</v>
      </c>
      <c r="F37" s="39">
        <f t="shared" si="8"/>
        <v>0</v>
      </c>
      <c r="G37" s="72">
        <f t="shared" si="9"/>
        <v>0</v>
      </c>
      <c r="H37" s="108"/>
      <c r="I37" s="183"/>
      <c r="J37" s="203">
        <v>0</v>
      </c>
      <c r="K37" s="185">
        <v>0</v>
      </c>
      <c r="L37" s="48">
        <f t="shared" si="10"/>
        <v>0</v>
      </c>
      <c r="M37" s="49">
        <f t="shared" si="11"/>
        <v>0</v>
      </c>
      <c r="N37" s="119">
        <f t="shared" si="12"/>
        <v>0</v>
      </c>
      <c r="O37" s="186">
        <v>0</v>
      </c>
      <c r="P37" s="183">
        <v>0</v>
      </c>
      <c r="Q37" s="128">
        <f t="shared" si="13"/>
        <v>0</v>
      </c>
      <c r="R37" s="128">
        <f t="shared" si="14"/>
        <v>0</v>
      </c>
      <c r="S37" s="119">
        <f t="shared" si="15"/>
        <v>0</v>
      </c>
    </row>
    <row r="38" spans="2:23" s="7" customFormat="1" x14ac:dyDescent="0.25">
      <c r="B38" s="43">
        <v>2.14</v>
      </c>
      <c r="C38" s="207"/>
      <c r="D38" s="201" t="s">
        <v>23</v>
      </c>
      <c r="E38" s="202">
        <v>0</v>
      </c>
      <c r="F38" s="39">
        <f t="shared" si="8"/>
        <v>0</v>
      </c>
      <c r="G38" s="72">
        <f t="shared" si="9"/>
        <v>0</v>
      </c>
      <c r="H38" s="108"/>
      <c r="I38" s="183"/>
      <c r="J38" s="203">
        <v>0</v>
      </c>
      <c r="K38" s="185">
        <v>0</v>
      </c>
      <c r="L38" s="48">
        <f t="shared" si="10"/>
        <v>0</v>
      </c>
      <c r="M38" s="49">
        <f t="shared" si="11"/>
        <v>0</v>
      </c>
      <c r="N38" s="119">
        <f t="shared" si="12"/>
        <v>0</v>
      </c>
      <c r="O38" s="186">
        <v>0</v>
      </c>
      <c r="P38" s="183">
        <v>0</v>
      </c>
      <c r="Q38" s="128">
        <f t="shared" si="13"/>
        <v>0</v>
      </c>
      <c r="R38" s="128">
        <f t="shared" si="14"/>
        <v>0</v>
      </c>
      <c r="S38" s="119">
        <f t="shared" si="15"/>
        <v>0</v>
      </c>
    </row>
    <row r="39" spans="2:23" s="7" customFormat="1" x14ac:dyDescent="0.25">
      <c r="B39" s="43">
        <v>2.15</v>
      </c>
      <c r="C39" s="207"/>
      <c r="D39" s="201" t="s">
        <v>26</v>
      </c>
      <c r="E39" s="202">
        <v>0</v>
      </c>
      <c r="F39" s="39">
        <f t="shared" si="8"/>
        <v>0</v>
      </c>
      <c r="G39" s="72">
        <f t="shared" si="9"/>
        <v>0</v>
      </c>
      <c r="H39" s="108"/>
      <c r="I39" s="183"/>
      <c r="J39" s="203">
        <v>0</v>
      </c>
      <c r="K39" s="185">
        <v>0</v>
      </c>
      <c r="L39" s="48">
        <f t="shared" si="10"/>
        <v>0</v>
      </c>
      <c r="M39" s="49">
        <f t="shared" si="11"/>
        <v>0</v>
      </c>
      <c r="N39" s="119">
        <f t="shared" si="12"/>
        <v>0</v>
      </c>
      <c r="O39" s="186">
        <v>0</v>
      </c>
      <c r="P39" s="183">
        <v>0</v>
      </c>
      <c r="Q39" s="128">
        <f t="shared" si="13"/>
        <v>0</v>
      </c>
      <c r="R39" s="128">
        <f t="shared" si="14"/>
        <v>0</v>
      </c>
      <c r="S39" s="119">
        <f t="shared" si="15"/>
        <v>0</v>
      </c>
    </row>
    <row r="40" spans="2:23" ht="15.75" customHeight="1" x14ac:dyDescent="0.25">
      <c r="B40" s="43">
        <v>2.16</v>
      </c>
      <c r="C40" s="207"/>
      <c r="D40" s="201" t="s">
        <v>26</v>
      </c>
      <c r="E40" s="202">
        <v>0</v>
      </c>
      <c r="F40" s="39">
        <f t="shared" si="8"/>
        <v>0</v>
      </c>
      <c r="G40" s="72">
        <f t="shared" si="9"/>
        <v>0</v>
      </c>
      <c r="H40" s="108"/>
      <c r="I40" s="183"/>
      <c r="J40" s="203">
        <v>0</v>
      </c>
      <c r="K40" s="185">
        <v>0</v>
      </c>
      <c r="L40" s="48">
        <f t="shared" si="10"/>
        <v>0</v>
      </c>
      <c r="M40" s="49">
        <f t="shared" si="11"/>
        <v>0</v>
      </c>
      <c r="N40" s="119">
        <f t="shared" si="12"/>
        <v>0</v>
      </c>
      <c r="O40" s="186">
        <v>0</v>
      </c>
      <c r="P40" s="183">
        <v>0</v>
      </c>
      <c r="Q40" s="128">
        <f t="shared" si="13"/>
        <v>0</v>
      </c>
      <c r="R40" s="128">
        <f t="shared" si="14"/>
        <v>0</v>
      </c>
      <c r="S40" s="119">
        <f t="shared" si="15"/>
        <v>0</v>
      </c>
      <c r="T40" s="9"/>
    </row>
    <row r="41" spans="2:23" ht="15.75" customHeight="1" x14ac:dyDescent="0.25">
      <c r="B41" s="43">
        <v>2.17</v>
      </c>
      <c r="C41" s="207"/>
      <c r="D41" s="201" t="s">
        <v>28</v>
      </c>
      <c r="E41" s="202">
        <v>0</v>
      </c>
      <c r="F41" s="39">
        <f t="shared" si="8"/>
        <v>0</v>
      </c>
      <c r="G41" s="72">
        <f t="shared" si="9"/>
        <v>0</v>
      </c>
      <c r="H41" s="108"/>
      <c r="I41" s="183"/>
      <c r="J41" s="203">
        <v>0</v>
      </c>
      <c r="K41" s="185">
        <v>0</v>
      </c>
      <c r="L41" s="48">
        <f t="shared" si="10"/>
        <v>0</v>
      </c>
      <c r="M41" s="49">
        <f t="shared" si="11"/>
        <v>0</v>
      </c>
      <c r="N41" s="119">
        <f t="shared" si="12"/>
        <v>0</v>
      </c>
      <c r="O41" s="186">
        <v>0</v>
      </c>
      <c r="P41" s="183">
        <v>0</v>
      </c>
      <c r="Q41" s="128">
        <f t="shared" si="13"/>
        <v>0</v>
      </c>
      <c r="R41" s="128">
        <f t="shared" si="14"/>
        <v>0</v>
      </c>
      <c r="S41" s="119">
        <f t="shared" si="15"/>
        <v>0</v>
      </c>
      <c r="T41" s="9"/>
    </row>
    <row r="42" spans="2:23" ht="15.75" customHeight="1" thickBot="1" x14ac:dyDescent="0.3">
      <c r="B42" s="43">
        <v>2.1800000000000002</v>
      </c>
      <c r="C42" s="207"/>
      <c r="D42" s="201" t="s">
        <v>23</v>
      </c>
      <c r="E42" s="208">
        <v>0</v>
      </c>
      <c r="F42" s="40">
        <f t="shared" si="8"/>
        <v>0</v>
      </c>
      <c r="G42" s="73">
        <f t="shared" si="9"/>
        <v>0</v>
      </c>
      <c r="H42" s="109"/>
      <c r="I42" s="190"/>
      <c r="J42" s="209">
        <v>0</v>
      </c>
      <c r="K42" s="192">
        <v>0</v>
      </c>
      <c r="L42" s="68">
        <f t="shared" si="10"/>
        <v>0</v>
      </c>
      <c r="M42" s="50">
        <f t="shared" si="11"/>
        <v>0</v>
      </c>
      <c r="N42" s="120">
        <f t="shared" si="12"/>
        <v>0</v>
      </c>
      <c r="O42" s="193">
        <v>0</v>
      </c>
      <c r="P42" s="190">
        <v>0</v>
      </c>
      <c r="Q42" s="129">
        <f t="shared" si="13"/>
        <v>0</v>
      </c>
      <c r="R42" s="129">
        <f t="shared" si="14"/>
        <v>0</v>
      </c>
      <c r="S42" s="120">
        <f t="shared" si="15"/>
        <v>0</v>
      </c>
    </row>
    <row r="43" spans="2:23" ht="15.75" customHeight="1" thickBot="1" x14ac:dyDescent="0.3">
      <c r="B43" s="91">
        <v>3</v>
      </c>
      <c r="C43" s="194"/>
      <c r="D43" s="194"/>
      <c r="E43" s="194"/>
      <c r="F43" s="93"/>
      <c r="G43" s="94"/>
      <c r="H43" s="103">
        <f>SUM(G44:G72)</f>
        <v>240.00000000000003</v>
      </c>
      <c r="I43" s="210"/>
      <c r="J43" s="211"/>
      <c r="K43" s="212"/>
      <c r="N43" s="121"/>
      <c r="O43" s="198"/>
      <c r="P43" s="198"/>
      <c r="Q43" s="135"/>
      <c r="R43" s="121"/>
      <c r="S43" s="130"/>
      <c r="W43" s="29"/>
    </row>
    <row r="44" spans="2:23" s="7" customFormat="1" x14ac:dyDescent="0.25">
      <c r="B44" s="42">
        <v>3.01</v>
      </c>
      <c r="C44" s="173"/>
      <c r="D44" s="174" t="s">
        <v>26</v>
      </c>
      <c r="E44" s="175">
        <v>0</v>
      </c>
      <c r="F44" s="35">
        <f>+Q44</f>
        <v>0</v>
      </c>
      <c r="G44" s="36">
        <f>+F44*E44</f>
        <v>0</v>
      </c>
      <c r="H44" s="104"/>
      <c r="I44" s="176"/>
      <c r="J44" s="177">
        <v>0</v>
      </c>
      <c r="K44" s="178">
        <v>0</v>
      </c>
      <c r="L44" s="46">
        <f>J44+K44</f>
        <v>0</v>
      </c>
      <c r="M44" s="47">
        <f>+E44</f>
        <v>0</v>
      </c>
      <c r="N44" s="114">
        <f>+M44*L44</f>
        <v>0</v>
      </c>
      <c r="O44" s="179">
        <v>0</v>
      </c>
      <c r="P44" s="176">
        <v>0</v>
      </c>
      <c r="Q44" s="127">
        <f>L44*(100%+O44+P44)</f>
        <v>0</v>
      </c>
      <c r="R44" s="127">
        <f>+Q44*M44:M44</f>
        <v>0</v>
      </c>
      <c r="S44" s="118">
        <f>+R44-N44</f>
        <v>0</v>
      </c>
      <c r="V44" s="8"/>
      <c r="W44" s="29"/>
    </row>
    <row r="45" spans="2:23" s="7" customFormat="1" x14ac:dyDescent="0.25">
      <c r="B45" s="43">
        <v>3.02</v>
      </c>
      <c r="C45" s="180"/>
      <c r="D45" s="181" t="s">
        <v>7</v>
      </c>
      <c r="E45" s="182">
        <v>0</v>
      </c>
      <c r="F45" s="37">
        <f>+Q45</f>
        <v>0</v>
      </c>
      <c r="G45" s="38">
        <f>+F45*E45</f>
        <v>0</v>
      </c>
      <c r="H45" s="105"/>
      <c r="I45" s="183"/>
      <c r="J45" s="184">
        <v>0</v>
      </c>
      <c r="K45" s="185">
        <v>0</v>
      </c>
      <c r="L45" s="48">
        <f>J45+K45</f>
        <v>0</v>
      </c>
      <c r="M45" s="49">
        <f>+E45</f>
        <v>0</v>
      </c>
      <c r="N45" s="115">
        <f>+M45*L45</f>
        <v>0</v>
      </c>
      <c r="O45" s="186">
        <v>0</v>
      </c>
      <c r="P45" s="183">
        <v>0</v>
      </c>
      <c r="Q45" s="128">
        <f>L45*(100%+O45+P45)</f>
        <v>0</v>
      </c>
      <c r="R45" s="128">
        <f>+Q45*M45:M45</f>
        <v>0</v>
      </c>
      <c r="S45" s="119">
        <f>+R45-N45</f>
        <v>0</v>
      </c>
      <c r="V45" s="8"/>
      <c r="W45" s="29"/>
    </row>
    <row r="46" spans="2:23" s="7" customFormat="1" x14ac:dyDescent="0.25">
      <c r="B46" s="43">
        <v>3.03</v>
      </c>
      <c r="C46" s="187"/>
      <c r="D46" s="181" t="s">
        <v>26</v>
      </c>
      <c r="E46" s="182">
        <v>0</v>
      </c>
      <c r="F46" s="37">
        <f>+Q46</f>
        <v>0</v>
      </c>
      <c r="G46" s="38">
        <f>+F46*E46</f>
        <v>0</v>
      </c>
      <c r="H46" s="105"/>
      <c r="I46" s="183"/>
      <c r="J46" s="184">
        <v>0</v>
      </c>
      <c r="K46" s="185">
        <v>0</v>
      </c>
      <c r="L46" s="48">
        <f>J46+K46</f>
        <v>0</v>
      </c>
      <c r="M46" s="49">
        <f>+E46</f>
        <v>0</v>
      </c>
      <c r="N46" s="115">
        <f>+M46*L46</f>
        <v>0</v>
      </c>
      <c r="O46" s="186">
        <v>0</v>
      </c>
      <c r="P46" s="183">
        <v>0</v>
      </c>
      <c r="Q46" s="128">
        <f>L46*(100%+O46+P46)</f>
        <v>0</v>
      </c>
      <c r="R46" s="128">
        <f>+Q46*M46:M46</f>
        <v>0</v>
      </c>
      <c r="S46" s="119">
        <f>+R46-N46</f>
        <v>0</v>
      </c>
      <c r="V46" s="8"/>
      <c r="W46" s="29"/>
    </row>
    <row r="47" spans="2:23" s="7" customFormat="1" x14ac:dyDescent="0.25">
      <c r="B47" s="43">
        <v>3.04</v>
      </c>
      <c r="C47" s="187"/>
      <c r="D47" s="181" t="s">
        <v>7</v>
      </c>
      <c r="E47" s="182">
        <v>0</v>
      </c>
      <c r="F47" s="37">
        <f>+Q47</f>
        <v>0</v>
      </c>
      <c r="G47" s="38">
        <f>+F47*E47</f>
        <v>0</v>
      </c>
      <c r="H47" s="105"/>
      <c r="I47" s="183"/>
      <c r="J47" s="184">
        <v>0</v>
      </c>
      <c r="K47" s="185">
        <v>0</v>
      </c>
      <c r="L47" s="48">
        <f>J47+K47</f>
        <v>0</v>
      </c>
      <c r="M47" s="49">
        <f>+E47</f>
        <v>0</v>
      </c>
      <c r="N47" s="115">
        <f>+M47*L47</f>
        <v>0</v>
      </c>
      <c r="O47" s="186">
        <v>0</v>
      </c>
      <c r="P47" s="183">
        <v>0</v>
      </c>
      <c r="Q47" s="128">
        <f>L47*(100%+O47+P47)</f>
        <v>0</v>
      </c>
      <c r="R47" s="128">
        <f>+Q47*M47:M47</f>
        <v>0</v>
      </c>
      <c r="S47" s="119">
        <f>+R47-N47</f>
        <v>0</v>
      </c>
      <c r="V47" s="8"/>
      <c r="W47" s="29"/>
    </row>
    <row r="48" spans="2:23" s="7" customFormat="1" ht="15.75" customHeight="1" thickBot="1" x14ac:dyDescent="0.3">
      <c r="B48" s="43">
        <v>3.05</v>
      </c>
      <c r="C48" s="180"/>
      <c r="D48" s="181" t="s">
        <v>25</v>
      </c>
      <c r="E48" s="182">
        <v>0</v>
      </c>
      <c r="F48" s="37">
        <f>+Q48</f>
        <v>0</v>
      </c>
      <c r="G48" s="38">
        <f>+F48*E48</f>
        <v>0</v>
      </c>
      <c r="H48" s="105"/>
      <c r="I48" s="213"/>
      <c r="J48" s="214">
        <v>0</v>
      </c>
      <c r="K48" s="215">
        <v>0</v>
      </c>
      <c r="L48" s="81">
        <f>J48+K48</f>
        <v>0</v>
      </c>
      <c r="M48" s="79">
        <f>+E48</f>
        <v>0</v>
      </c>
      <c r="N48" s="122">
        <f>+M48*L48</f>
        <v>0</v>
      </c>
      <c r="O48" s="216">
        <v>0</v>
      </c>
      <c r="P48" s="190">
        <v>0</v>
      </c>
      <c r="Q48" s="129">
        <f>L48*(100%+O48+P48)</f>
        <v>0</v>
      </c>
      <c r="R48" s="129">
        <f>+Q48*M48:M48</f>
        <v>0</v>
      </c>
      <c r="S48" s="120">
        <f>+R48-N48</f>
        <v>0</v>
      </c>
      <c r="V48" s="8"/>
      <c r="W48" s="29"/>
    </row>
    <row r="49" spans="2:24" ht="15.75" customHeight="1" thickBot="1" x14ac:dyDescent="0.3">
      <c r="B49" s="91">
        <v>1</v>
      </c>
      <c r="C49" s="194"/>
      <c r="D49" s="194"/>
      <c r="E49" s="194"/>
      <c r="F49" s="93"/>
      <c r="G49" s="94"/>
      <c r="H49" s="103">
        <f>SUM(G50:G77)</f>
        <v>240.00000000000003</v>
      </c>
      <c r="I49" s="217"/>
      <c r="J49" s="218"/>
      <c r="K49" s="219"/>
      <c r="L49" s="34"/>
      <c r="M49" s="34"/>
      <c r="N49" s="123"/>
      <c r="O49" s="220"/>
      <c r="P49" s="198"/>
      <c r="Q49" s="135"/>
      <c r="R49" s="121"/>
      <c r="S49" s="130"/>
      <c r="W49" s="29"/>
    </row>
    <row r="50" spans="2:24" s="7" customFormat="1" x14ac:dyDescent="0.25">
      <c r="B50" s="42">
        <v>1.01</v>
      </c>
      <c r="C50" s="173"/>
      <c r="D50" s="174" t="s">
        <v>28</v>
      </c>
      <c r="E50" s="175">
        <v>0</v>
      </c>
      <c r="F50" s="35">
        <f>+Q50</f>
        <v>0</v>
      </c>
      <c r="G50" s="36">
        <f>+F50*E50</f>
        <v>0</v>
      </c>
      <c r="H50" s="104"/>
      <c r="I50" s="176"/>
      <c r="J50" s="177">
        <v>0</v>
      </c>
      <c r="K50" s="178">
        <v>0</v>
      </c>
      <c r="L50" s="46">
        <f>J50+K50</f>
        <v>0</v>
      </c>
      <c r="M50" s="47">
        <f>+E50</f>
        <v>0</v>
      </c>
      <c r="N50" s="114">
        <f>+M50*L50</f>
        <v>0</v>
      </c>
      <c r="O50" s="179">
        <v>0</v>
      </c>
      <c r="P50" s="176">
        <v>0</v>
      </c>
      <c r="Q50" s="127">
        <f>L50*(100%+O50+P50)</f>
        <v>0</v>
      </c>
      <c r="R50" s="127">
        <f>+Q50*M50:M50</f>
        <v>0</v>
      </c>
      <c r="S50" s="118">
        <f>+R50-N50</f>
        <v>0</v>
      </c>
      <c r="V50" s="8"/>
      <c r="W50" s="29"/>
    </row>
    <row r="51" spans="2:24" s="7" customFormat="1" x14ac:dyDescent="0.25">
      <c r="B51" s="43">
        <v>1.02</v>
      </c>
      <c r="C51" s="180"/>
      <c r="D51" s="181" t="s">
        <v>28</v>
      </c>
      <c r="E51" s="182">
        <v>0</v>
      </c>
      <c r="F51" s="37">
        <f>+Q51</f>
        <v>0</v>
      </c>
      <c r="G51" s="38">
        <f>+F51*E51</f>
        <v>0</v>
      </c>
      <c r="H51" s="105"/>
      <c r="I51" s="183"/>
      <c r="J51" s="184">
        <v>0</v>
      </c>
      <c r="K51" s="185">
        <v>0</v>
      </c>
      <c r="L51" s="48">
        <f>J51+K51</f>
        <v>0</v>
      </c>
      <c r="M51" s="49">
        <f>+E51</f>
        <v>0</v>
      </c>
      <c r="N51" s="115">
        <f>+M51*L51</f>
        <v>0</v>
      </c>
      <c r="O51" s="186">
        <v>0</v>
      </c>
      <c r="P51" s="183">
        <v>0</v>
      </c>
      <c r="Q51" s="128">
        <f>L51*(100%+O51+P51)</f>
        <v>0</v>
      </c>
      <c r="R51" s="128">
        <f>+Q51*M51:M51</f>
        <v>0</v>
      </c>
      <c r="S51" s="119">
        <f>+R51-N51</f>
        <v>0</v>
      </c>
      <c r="V51" s="8"/>
      <c r="W51" s="29"/>
    </row>
    <row r="52" spans="2:24" s="7" customFormat="1" x14ac:dyDescent="0.25">
      <c r="B52" s="43">
        <v>1.03</v>
      </c>
      <c r="C52" s="187"/>
      <c r="D52" s="181" t="s">
        <v>7</v>
      </c>
      <c r="E52" s="182">
        <v>0</v>
      </c>
      <c r="F52" s="37">
        <f>+Q52</f>
        <v>0</v>
      </c>
      <c r="G52" s="38">
        <f>+F52*E52</f>
        <v>0</v>
      </c>
      <c r="H52" s="105"/>
      <c r="I52" s="183"/>
      <c r="J52" s="184">
        <v>0</v>
      </c>
      <c r="K52" s="185">
        <v>0</v>
      </c>
      <c r="L52" s="48">
        <f>J52+K52</f>
        <v>0</v>
      </c>
      <c r="M52" s="49">
        <f>+E52</f>
        <v>0</v>
      </c>
      <c r="N52" s="115">
        <f>+M52*L52</f>
        <v>0</v>
      </c>
      <c r="O52" s="186">
        <v>0</v>
      </c>
      <c r="P52" s="183">
        <v>0</v>
      </c>
      <c r="Q52" s="128">
        <f>L52*(100%+O52+P52)</f>
        <v>0</v>
      </c>
      <c r="R52" s="128">
        <f>+Q52*M52:M52</f>
        <v>0</v>
      </c>
      <c r="S52" s="119">
        <f>+R52-N52</f>
        <v>0</v>
      </c>
      <c r="V52" s="8"/>
      <c r="W52" s="29"/>
    </row>
    <row r="53" spans="2:24" s="7" customFormat="1" ht="15.75" customHeight="1" thickBot="1" x14ac:dyDescent="0.3">
      <c r="B53" s="43">
        <v>1.04</v>
      </c>
      <c r="C53" s="180"/>
      <c r="D53" s="181" t="s">
        <v>28</v>
      </c>
      <c r="E53" s="182">
        <v>10</v>
      </c>
      <c r="F53" s="37">
        <f>+Q53</f>
        <v>24.000000000000004</v>
      </c>
      <c r="G53" s="38">
        <f>+F53*E53</f>
        <v>240.00000000000003</v>
      </c>
      <c r="H53" s="105"/>
      <c r="I53" s="190" t="s">
        <v>29</v>
      </c>
      <c r="J53" s="191">
        <v>10</v>
      </c>
      <c r="K53" s="192">
        <v>10</v>
      </c>
      <c r="L53" s="68">
        <f>J53+K53</f>
        <v>20</v>
      </c>
      <c r="M53" s="79">
        <f>+E53</f>
        <v>10</v>
      </c>
      <c r="N53" s="122">
        <f>+M53*L53</f>
        <v>200</v>
      </c>
      <c r="O53" s="216">
        <v>0.1</v>
      </c>
      <c r="P53" s="190">
        <v>0.1</v>
      </c>
      <c r="Q53" s="129">
        <f>L53*(100%+O53+P53)</f>
        <v>24.000000000000004</v>
      </c>
      <c r="R53" s="129">
        <f>+Q53*M53:M53</f>
        <v>240.00000000000003</v>
      </c>
      <c r="S53" s="120">
        <f>+R53-N53</f>
        <v>40.000000000000028</v>
      </c>
      <c r="V53" s="8"/>
      <c r="W53" s="29"/>
    </row>
    <row r="54" spans="2:24" ht="15.75" customHeight="1" thickBot="1" x14ac:dyDescent="0.3">
      <c r="B54" s="95" t="s">
        <v>30</v>
      </c>
      <c r="C54" s="96"/>
      <c r="D54" s="97"/>
      <c r="E54" s="97"/>
      <c r="F54" s="98"/>
      <c r="G54" s="99" t="s">
        <v>31</v>
      </c>
      <c r="H54" s="110">
        <f>+H17</f>
        <v>2.04</v>
      </c>
      <c r="J54" s="84"/>
      <c r="L54" s="51"/>
      <c r="M54" s="83" t="s">
        <v>31</v>
      </c>
      <c r="N54" s="124">
        <f>SUM(N18:N53)</f>
        <v>202</v>
      </c>
      <c r="O54" s="80">
        <f>AVERAGE(O18:O53)</f>
        <v>3.3333333333333335E-3</v>
      </c>
      <c r="P54" s="138">
        <f>AVERAGE(P18:P53)</f>
        <v>3.3333333333333335E-3</v>
      </c>
      <c r="Q54" s="134" t="s">
        <v>31</v>
      </c>
      <c r="R54" s="139">
        <f>SUM(R18:R53)</f>
        <v>242.04000000000002</v>
      </c>
      <c r="S54" s="140">
        <f>SUM(S18:S53)</f>
        <v>40.040000000000028</v>
      </c>
    </row>
    <row r="55" spans="2:24" ht="24" customHeight="1" thickBot="1" x14ac:dyDescent="0.3">
      <c r="B55" s="241"/>
      <c r="C55" s="226"/>
      <c r="D55" s="226"/>
      <c r="E55" s="226"/>
      <c r="F55" s="227"/>
      <c r="G55" s="100" t="s">
        <v>32</v>
      </c>
      <c r="H55" s="111">
        <f>H54*0.05</f>
        <v>0.10200000000000001</v>
      </c>
      <c r="L55" s="51"/>
      <c r="M55" s="52" t="s">
        <v>33</v>
      </c>
      <c r="N55" s="125">
        <f>+N54*0.18</f>
        <v>36.36</v>
      </c>
      <c r="O55" s="53"/>
      <c r="P55" s="53"/>
      <c r="Q55" s="52" t="s">
        <v>33</v>
      </c>
      <c r="R55" s="131">
        <f>+R54*0.18</f>
        <v>43.5672</v>
      </c>
      <c r="S55" s="132"/>
    </row>
    <row r="56" spans="2:24" ht="26.25" customHeight="1" thickBot="1" x14ac:dyDescent="0.3">
      <c r="B56" s="232"/>
      <c r="C56" s="234"/>
      <c r="D56" s="234"/>
      <c r="E56" s="234"/>
      <c r="F56" s="235"/>
      <c r="G56" s="101" t="s">
        <v>3</v>
      </c>
      <c r="H56" s="112">
        <f>S54</f>
        <v>40.040000000000028</v>
      </c>
      <c r="L56" s="51"/>
      <c r="M56" s="54" t="s">
        <v>34</v>
      </c>
      <c r="N56" s="126">
        <f>+N55+N54</f>
        <v>238.36</v>
      </c>
      <c r="O56" s="53"/>
      <c r="P56" s="53"/>
      <c r="Q56" s="54" t="s">
        <v>34</v>
      </c>
      <c r="R56" s="129">
        <f>+R55+R54</f>
        <v>285.60720000000003</v>
      </c>
      <c r="S56" s="133"/>
      <c r="T56" s="11"/>
      <c r="U56" s="12"/>
    </row>
    <row r="57" spans="2:24" ht="40.5" customHeight="1" thickBot="1" x14ac:dyDescent="0.3">
      <c r="B57" s="228"/>
      <c r="C57" s="229"/>
      <c r="D57" s="229"/>
      <c r="E57" s="229"/>
      <c r="F57" s="230"/>
      <c r="G57" s="102" t="s">
        <v>20</v>
      </c>
      <c r="H57" s="113">
        <f>+H56+H54+H55</f>
        <v>42.182000000000023</v>
      </c>
      <c r="L57" s="51"/>
      <c r="M57" s="7"/>
      <c r="N57" s="7"/>
      <c r="O57" s="7"/>
      <c r="P57" s="7"/>
      <c r="Q57" s="7"/>
      <c r="R57" s="7"/>
      <c r="S57" s="7"/>
      <c r="T57" s="11"/>
      <c r="U57" s="12"/>
    </row>
    <row r="58" spans="2:24" ht="15.75" customHeight="1" thickBot="1" x14ac:dyDescent="0.3">
      <c r="B58" s="225" t="s">
        <v>35</v>
      </c>
      <c r="C58" s="226"/>
      <c r="D58" s="226"/>
      <c r="E58" s="226"/>
      <c r="F58" s="226"/>
      <c r="G58" s="226"/>
      <c r="H58" s="227"/>
      <c r="L58" s="7"/>
      <c r="O58" s="7"/>
      <c r="P58" s="7"/>
      <c r="Q58" s="10"/>
      <c r="R58" s="242" t="s">
        <v>36</v>
      </c>
      <c r="S58" s="243"/>
      <c r="T58" s="11"/>
      <c r="U58" s="12"/>
    </row>
    <row r="59" spans="2:24" ht="15.75" customHeight="1" thickBot="1" x14ac:dyDescent="0.3">
      <c r="B59" s="228"/>
      <c r="C59" s="229"/>
      <c r="D59" s="229"/>
      <c r="E59" s="229"/>
      <c r="F59" s="229"/>
      <c r="G59" s="229"/>
      <c r="H59" s="230"/>
      <c r="O59" s="7"/>
      <c r="P59" s="7"/>
      <c r="Q59" s="10"/>
      <c r="R59" s="13" t="str">
        <f>I18</f>
        <v>SODIMAC</v>
      </c>
      <c r="S59" s="14">
        <f ca="1">SUMIF($I$18:$L$42,R59,$N$18:$N$42)</f>
        <v>2</v>
      </c>
      <c r="T59" s="11"/>
      <c r="U59" s="11"/>
    </row>
    <row r="60" spans="2:24" x14ac:dyDescent="0.25">
      <c r="B60" s="55"/>
      <c r="C60" s="55"/>
      <c r="D60" s="57"/>
      <c r="E60" s="55"/>
      <c r="F60" s="56"/>
      <c r="G60" s="55"/>
      <c r="H60" s="74"/>
      <c r="O60" s="7"/>
      <c r="P60" s="7"/>
      <c r="Q60" s="10"/>
      <c r="R60" s="16" t="s">
        <v>29</v>
      </c>
      <c r="S60" s="15">
        <f ca="1">SUMIF($I$18:$L$53,R60,$N$18:$N$53)</f>
        <v>200</v>
      </c>
      <c r="X60" s="20"/>
    </row>
    <row r="61" spans="2:24" ht="15.75" customHeight="1" thickBot="1" x14ac:dyDescent="0.3">
      <c r="M61" s="7"/>
      <c r="N61" s="7"/>
      <c r="O61" s="7"/>
      <c r="P61" s="7"/>
      <c r="Q61" s="10"/>
      <c r="R61" s="16"/>
      <c r="S61" s="17">
        <f ca="1">SUMIF($I$18:$L$42,R61,$N$18:$N$42)</f>
        <v>0</v>
      </c>
      <c r="X61" s="20"/>
    </row>
    <row r="62" spans="2:24" ht="15.75" customHeight="1" thickBot="1" x14ac:dyDescent="0.3">
      <c r="L62" s="7"/>
      <c r="M62" s="7"/>
      <c r="N62" s="7"/>
      <c r="O62" s="7"/>
      <c r="P62" s="7"/>
      <c r="Q62" s="7"/>
      <c r="R62" s="18" t="s">
        <v>37</v>
      </c>
      <c r="S62" s="19">
        <f ca="1">SUM(S59:S60)</f>
        <v>202</v>
      </c>
      <c r="T62" s="11"/>
      <c r="U62" s="12"/>
    </row>
    <row r="63" spans="2:24" x14ac:dyDescent="0.25">
      <c r="E63" s="9"/>
      <c r="L63" s="7"/>
      <c r="M63" s="7"/>
      <c r="N63" s="7"/>
      <c r="O63" s="7"/>
      <c r="P63" s="7"/>
      <c r="Q63" s="7"/>
      <c r="R63" s="7"/>
      <c r="S63" s="7"/>
    </row>
    <row r="64" spans="2:24" x14ac:dyDescent="0.25">
      <c r="E64" s="9"/>
      <c r="H64" s="9"/>
      <c r="L64" s="7"/>
      <c r="M64" s="7"/>
      <c r="N64" s="10"/>
      <c r="O64" s="8"/>
      <c r="P64" s="8"/>
      <c r="Q64" s="10"/>
      <c r="R64" s="7"/>
      <c r="S64" s="8"/>
    </row>
    <row r="65" spans="6:19" x14ac:dyDescent="0.25">
      <c r="F65" s="9"/>
      <c r="H65" s="9"/>
      <c r="L65" s="76"/>
      <c r="M65" s="82"/>
      <c r="N65" s="82"/>
      <c r="O65" s="82"/>
      <c r="P65" s="82"/>
      <c r="Q65" s="82"/>
      <c r="R65" s="82"/>
      <c r="S65" s="82"/>
    </row>
    <row r="66" spans="6:19" x14ac:dyDescent="0.25">
      <c r="H66" s="9"/>
      <c r="L66" s="82"/>
      <c r="M66" s="7"/>
      <c r="N66" s="7"/>
      <c r="O66" s="7"/>
      <c r="P66" s="7"/>
      <c r="Q66" s="7"/>
      <c r="R66" s="7"/>
      <c r="S66" s="7"/>
    </row>
    <row r="67" spans="6:19" x14ac:dyDescent="0.25">
      <c r="L67" s="7"/>
      <c r="M67" s="75"/>
      <c r="N67" s="7"/>
      <c r="O67" s="7"/>
      <c r="P67" s="7"/>
      <c r="Q67" s="7"/>
      <c r="R67" s="10"/>
      <c r="S67" s="8"/>
    </row>
    <row r="68" spans="6:19" x14ac:dyDescent="0.25">
      <c r="L68" s="76"/>
      <c r="M68" s="75"/>
      <c r="N68" s="7"/>
      <c r="O68" s="8"/>
      <c r="P68" s="8"/>
      <c r="Q68" s="7"/>
      <c r="R68" s="8"/>
      <c r="S68" s="10"/>
    </row>
    <row r="69" spans="6:19" x14ac:dyDescent="0.25">
      <c r="H69" s="32"/>
      <c r="L69" s="76"/>
      <c r="M69" s="75"/>
      <c r="N69" s="7"/>
      <c r="O69" s="8"/>
      <c r="P69" s="8"/>
      <c r="Q69" s="7"/>
      <c r="R69" s="8"/>
      <c r="S69" s="10"/>
    </row>
    <row r="70" spans="6:19" x14ac:dyDescent="0.25">
      <c r="H70" s="9"/>
      <c r="L70" s="76"/>
      <c r="M70" s="75"/>
      <c r="N70" s="7"/>
      <c r="O70" s="8"/>
      <c r="P70" s="8"/>
      <c r="Q70" s="7"/>
      <c r="R70" s="8"/>
      <c r="S70" s="10"/>
    </row>
    <row r="71" spans="6:19" x14ac:dyDescent="0.25">
      <c r="F71" s="9"/>
      <c r="G71" s="9"/>
      <c r="H71" s="20"/>
      <c r="L71" s="76"/>
      <c r="O71" s="9"/>
      <c r="P71" s="9"/>
      <c r="R71" s="9"/>
      <c r="S71" s="11"/>
    </row>
    <row r="72" spans="6:19" x14ac:dyDescent="0.25">
      <c r="F72" s="9"/>
      <c r="G72" s="9"/>
      <c r="H72" s="20"/>
      <c r="L72" s="77"/>
      <c r="O72" s="9"/>
      <c r="P72" s="9"/>
      <c r="R72" s="9"/>
      <c r="S72" s="11"/>
    </row>
    <row r="73" spans="6:19" x14ac:dyDescent="0.25">
      <c r="F73" s="6"/>
      <c r="G73" s="12"/>
      <c r="L73" s="77"/>
      <c r="O73" s="9"/>
      <c r="P73" s="9"/>
      <c r="R73" s="9"/>
      <c r="S73" s="11"/>
    </row>
    <row r="74" spans="6:19" x14ac:dyDescent="0.25">
      <c r="L74" s="77"/>
      <c r="N74" s="9"/>
      <c r="O74" s="9"/>
      <c r="P74" s="9"/>
      <c r="Q74" s="9"/>
      <c r="R74" s="9"/>
      <c r="S74" s="9"/>
    </row>
    <row r="75" spans="6:19" x14ac:dyDescent="0.25">
      <c r="L75" s="77"/>
      <c r="N75" s="9"/>
      <c r="O75" s="9"/>
      <c r="P75" s="9"/>
      <c r="Q75" s="9"/>
      <c r="R75" s="9"/>
      <c r="S75" s="9"/>
    </row>
    <row r="76" spans="6:19" x14ac:dyDescent="0.25">
      <c r="F76" s="9"/>
      <c r="G76" s="9"/>
      <c r="H76" s="20"/>
      <c r="L76" s="9"/>
      <c r="M76" s="78"/>
      <c r="N76" s="78"/>
      <c r="O76" s="78"/>
      <c r="P76" s="78"/>
      <c r="Q76" s="78"/>
      <c r="R76" s="78"/>
    </row>
    <row r="77" spans="6:19" x14ac:dyDescent="0.25">
      <c r="F77" s="9"/>
      <c r="G77" s="9"/>
      <c r="H77" s="20"/>
      <c r="L77" s="78"/>
    </row>
    <row r="78" spans="6:19" x14ac:dyDescent="0.25">
      <c r="G78" s="12"/>
      <c r="Q78" s="11"/>
      <c r="R78" s="9"/>
    </row>
    <row r="79" spans="6:19" x14ac:dyDescent="0.25">
      <c r="I79" s="9"/>
      <c r="J79" s="9"/>
      <c r="K79" s="9"/>
      <c r="L79" s="77"/>
      <c r="M79" s="11"/>
      <c r="N79" s="9"/>
      <c r="Q79" s="9"/>
      <c r="R79" s="11"/>
    </row>
    <row r="80" spans="6:19" x14ac:dyDescent="0.25">
      <c r="I80" s="9"/>
      <c r="J80" s="9"/>
      <c r="K80" s="9"/>
      <c r="L80" s="77"/>
      <c r="N80" s="9"/>
      <c r="O80" s="9"/>
      <c r="P80" s="9"/>
      <c r="Q80" s="9"/>
      <c r="R80" s="9"/>
    </row>
    <row r="81" spans="9:19" x14ac:dyDescent="0.25">
      <c r="I81" s="9"/>
      <c r="J81" s="9"/>
      <c r="K81" s="9"/>
      <c r="L81" s="9"/>
      <c r="M81" s="9"/>
      <c r="N81" s="9"/>
    </row>
    <row r="82" spans="9:19" x14ac:dyDescent="0.25">
      <c r="I82" s="9"/>
      <c r="J82" s="9"/>
      <c r="K82" s="9"/>
      <c r="L82" s="9"/>
      <c r="M82" s="9"/>
      <c r="N82" s="9"/>
    </row>
    <row r="83" spans="9:19" x14ac:dyDescent="0.25">
      <c r="I83" s="9"/>
      <c r="J83" s="9"/>
      <c r="K83" s="9"/>
      <c r="L83" s="9"/>
      <c r="M83" s="9"/>
      <c r="N83" s="9"/>
    </row>
    <row r="84" spans="9:19" x14ac:dyDescent="0.25">
      <c r="I84" s="9"/>
      <c r="J84" s="9"/>
      <c r="K84" s="9"/>
      <c r="L84" s="9"/>
      <c r="M84" s="9"/>
      <c r="N84" s="9"/>
    </row>
    <row r="85" spans="9:19" x14ac:dyDescent="0.25">
      <c r="I85" s="9"/>
      <c r="J85" s="9"/>
      <c r="K85" s="9"/>
      <c r="L85" s="9"/>
      <c r="M85" s="9"/>
      <c r="N85" s="9"/>
    </row>
    <row r="86" spans="9:19" x14ac:dyDescent="0.25">
      <c r="I86" s="9"/>
      <c r="J86" s="9"/>
      <c r="K86" s="9"/>
      <c r="L86" s="9"/>
      <c r="M86" s="9"/>
      <c r="N86" s="9"/>
    </row>
    <row r="87" spans="9:19" x14ac:dyDescent="0.25">
      <c r="I87" s="9"/>
      <c r="J87" s="9"/>
      <c r="K87" s="9"/>
      <c r="L87" s="9"/>
      <c r="M87" s="9"/>
      <c r="N87" s="9"/>
    </row>
    <row r="88" spans="9:19" x14ac:dyDescent="0.25">
      <c r="I88" s="9"/>
      <c r="J88" s="9"/>
      <c r="K88" s="9"/>
      <c r="L88" s="9"/>
      <c r="M88" s="9"/>
      <c r="N88" s="9"/>
    </row>
    <row r="89" spans="9:19" x14ac:dyDescent="0.25">
      <c r="I89" s="9"/>
      <c r="J89" s="9"/>
      <c r="K89" s="9"/>
      <c r="L89" s="9"/>
      <c r="O89" s="9"/>
      <c r="P89" s="9"/>
      <c r="Q89" s="11"/>
      <c r="R89" s="9"/>
      <c r="S89" s="9"/>
    </row>
    <row r="90" spans="9:19" x14ac:dyDescent="0.25">
      <c r="O90" s="9"/>
      <c r="P90" s="9"/>
      <c r="Q90" s="9"/>
      <c r="R90" s="9"/>
      <c r="S90" s="9"/>
    </row>
    <row r="91" spans="9:19" x14ac:dyDescent="0.25">
      <c r="O91" s="9"/>
      <c r="P91" s="9"/>
      <c r="Q91" s="9"/>
      <c r="R91" s="9"/>
      <c r="S91" s="9"/>
    </row>
    <row r="92" spans="9:19" x14ac:dyDescent="0.25">
      <c r="O92" s="9"/>
      <c r="P92" s="9"/>
      <c r="Q92" s="9"/>
      <c r="R92" s="9"/>
      <c r="S92" s="9"/>
    </row>
    <row r="93" spans="9:19" x14ac:dyDescent="0.25">
      <c r="O93" s="9"/>
      <c r="P93" s="9"/>
      <c r="Q93" s="9"/>
      <c r="R93" s="9"/>
      <c r="S93" s="9"/>
    </row>
    <row r="94" spans="9:19" x14ac:dyDescent="0.25">
      <c r="O94" s="9"/>
      <c r="P94" s="9"/>
      <c r="Q94" s="9"/>
      <c r="R94" s="9"/>
      <c r="S94" s="9"/>
    </row>
    <row r="95" spans="9:19" x14ac:dyDescent="0.25">
      <c r="O95" s="9"/>
      <c r="P95" s="9"/>
      <c r="Q95" s="9"/>
      <c r="R95" s="9"/>
      <c r="S95" s="9"/>
    </row>
    <row r="96" spans="9:19" x14ac:dyDescent="0.25">
      <c r="O96" s="9"/>
      <c r="P96" s="9"/>
      <c r="Q96" s="9"/>
      <c r="R96" s="9"/>
      <c r="S96" s="9"/>
    </row>
    <row r="97" spans="15:19" x14ac:dyDescent="0.25">
      <c r="O97" s="9"/>
      <c r="P97" s="9"/>
      <c r="Q97" s="9"/>
      <c r="R97" s="9"/>
      <c r="S97" s="9"/>
    </row>
    <row r="98" spans="15:19" x14ac:dyDescent="0.25">
      <c r="O98" s="9"/>
      <c r="P98" s="9"/>
      <c r="Q98" s="9"/>
      <c r="R98" s="9"/>
      <c r="S98" s="9"/>
    </row>
    <row r="99" spans="15:19" x14ac:dyDescent="0.25">
      <c r="O99" s="9"/>
      <c r="P99" s="9"/>
      <c r="Q99" s="9"/>
      <c r="R99" s="9"/>
      <c r="S99" s="9"/>
    </row>
    <row r="100" spans="15:19" x14ac:dyDescent="0.25">
      <c r="O100" s="9"/>
      <c r="P100" s="9"/>
      <c r="Q100" s="9"/>
      <c r="R100" s="9"/>
      <c r="S100" s="9"/>
    </row>
    <row r="101" spans="15:19" x14ac:dyDescent="0.25">
      <c r="O101" s="9"/>
      <c r="P101" s="9"/>
      <c r="Q101" s="9"/>
      <c r="R101" s="9"/>
      <c r="S101" s="9"/>
    </row>
    <row r="102" spans="15:19" x14ac:dyDescent="0.25">
      <c r="O102" s="9"/>
      <c r="P102" s="9"/>
      <c r="Q102" s="9"/>
      <c r="R102" s="9"/>
      <c r="S102" s="9"/>
    </row>
    <row r="103" spans="15:19" x14ac:dyDescent="0.25">
      <c r="O103" s="9"/>
      <c r="P103" s="9"/>
      <c r="Q103" s="9"/>
      <c r="R103" s="9"/>
      <c r="S103" s="9"/>
    </row>
    <row r="104" spans="15:19" ht="15.75" customHeight="1" thickBot="1" x14ac:dyDescent="0.3"/>
    <row r="105" spans="15:19" ht="15.75" customHeight="1" thickBot="1" x14ac:dyDescent="0.3">
      <c r="O105" s="21"/>
      <c r="P105" s="85"/>
      <c r="Q105" s="22"/>
    </row>
    <row r="106" spans="15:19" x14ac:dyDescent="0.25">
      <c r="O106" s="23"/>
      <c r="P106" s="86"/>
      <c r="Q106" s="24"/>
    </row>
    <row r="107" spans="15:19" ht="15.75" customHeight="1" thickBot="1" x14ac:dyDescent="0.3">
      <c r="O107" s="25"/>
      <c r="P107" s="87"/>
      <c r="Q107" s="26"/>
    </row>
    <row r="108" spans="15:19" ht="15.75" customHeight="1" thickBot="1" x14ac:dyDescent="0.3">
      <c r="O108" s="27"/>
      <c r="P108" s="88"/>
      <c r="Q108" s="28"/>
    </row>
    <row r="115" spans="17:17" x14ac:dyDescent="0.25">
      <c r="Q115" s="12"/>
    </row>
    <row r="116" spans="17:17" x14ac:dyDescent="0.25">
      <c r="Q116" s="9"/>
    </row>
    <row r="117" spans="17:17" x14ac:dyDescent="0.25">
      <c r="Q117" s="12"/>
    </row>
  </sheetData>
  <sheetProtection sheet="1"/>
  <mergeCells count="21">
    <mergeCell ref="B7:H7"/>
    <mergeCell ref="G14:G15"/>
    <mergeCell ref="I14:I15"/>
    <mergeCell ref="K14:K15"/>
    <mergeCell ref="M14:M15"/>
    <mergeCell ref="D14:D15"/>
    <mergeCell ref="F14:F15"/>
    <mergeCell ref="H14:H15"/>
    <mergeCell ref="J14:J15"/>
    <mergeCell ref="C14:C15"/>
    <mergeCell ref="E14:E15"/>
    <mergeCell ref="Q14:Q15"/>
    <mergeCell ref="S14:S15"/>
    <mergeCell ref="B58:H59"/>
    <mergeCell ref="L14:L15"/>
    <mergeCell ref="N14:N15"/>
    <mergeCell ref="O14:O15"/>
    <mergeCell ref="P14:P15"/>
    <mergeCell ref="R14:R15"/>
    <mergeCell ref="B55:F57"/>
    <mergeCell ref="R58:S58"/>
  </mergeCells>
  <hyperlinks>
    <hyperlink ref="B58" r:id="rId1" xr:uid="{00000000-0004-0000-0100-000000000000}"/>
  </hyperlinks>
  <pageMargins left="0.70866141732283472" right="0.70866141732283472" top="0.74803149606299213" bottom="0.74803149606299213" header="0.31496062992125978" footer="0.31496062992125978"/>
  <pageSetup paperSize="9" scale="38" orientation="portrait" horizontalDpi="1200" verticalDpi="120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1:L75"/>
  <sheetViews>
    <sheetView zoomScale="85" zoomScaleNormal="85" workbookViewId="0"/>
  </sheetViews>
  <sheetFormatPr baseColWidth="10" defaultRowHeight="15" x14ac:dyDescent="0.25"/>
  <cols>
    <col min="9" max="9" width="22.7109375" customWidth="1"/>
    <col min="10" max="10" width="23.42578125" customWidth="1"/>
    <col min="11" max="11" width="20.85546875" customWidth="1"/>
    <col min="12" max="12" width="34.42578125" customWidth="1"/>
  </cols>
  <sheetData>
    <row r="1" spans="3:12" ht="15.75" customHeight="1" thickBot="1" x14ac:dyDescent="0.3"/>
    <row r="2" spans="3:12" ht="43.5" customHeight="1" thickBot="1" x14ac:dyDescent="0.3">
      <c r="E2" s="260" t="s">
        <v>65</v>
      </c>
      <c r="F2" s="261"/>
      <c r="G2" s="262"/>
      <c r="I2" s="146" t="s">
        <v>66</v>
      </c>
      <c r="J2" s="147" t="s">
        <v>67</v>
      </c>
      <c r="K2" s="147" t="s">
        <v>68</v>
      </c>
      <c r="L2" s="148" t="s">
        <v>69</v>
      </c>
    </row>
    <row r="3" spans="3:12" ht="43.5" customHeight="1" thickBot="1" x14ac:dyDescent="0.3">
      <c r="E3" s="152" t="s">
        <v>70</v>
      </c>
      <c r="F3" s="152" t="s">
        <v>71</v>
      </c>
      <c r="G3" s="152" t="s">
        <v>72</v>
      </c>
      <c r="I3" s="149" t="s">
        <v>73</v>
      </c>
      <c r="J3" s="150" t="s">
        <v>74</v>
      </c>
      <c r="K3" s="150" t="s">
        <v>75</v>
      </c>
      <c r="L3" s="151" t="s">
        <v>76</v>
      </c>
    </row>
    <row r="4" spans="3:12" ht="43.5" customHeight="1" x14ac:dyDescent="0.25">
      <c r="C4" s="263" t="s">
        <v>67</v>
      </c>
      <c r="D4" s="157" t="s">
        <v>70</v>
      </c>
      <c r="E4" s="141" t="s">
        <v>77</v>
      </c>
      <c r="F4" s="142" t="s">
        <v>78</v>
      </c>
      <c r="G4" s="143" t="s">
        <v>79</v>
      </c>
      <c r="H4" s="55"/>
      <c r="I4" s="152" t="s">
        <v>80</v>
      </c>
      <c r="J4" s="152" t="s">
        <v>81</v>
      </c>
      <c r="K4" s="152" t="s">
        <v>82</v>
      </c>
      <c r="L4" s="153" t="s">
        <v>83</v>
      </c>
    </row>
    <row r="5" spans="3:12" ht="43.5" customHeight="1" x14ac:dyDescent="0.25">
      <c r="C5" s="222"/>
      <c r="D5" s="157" t="s">
        <v>71</v>
      </c>
      <c r="E5" s="142" t="s">
        <v>78</v>
      </c>
      <c r="F5" s="143" t="s">
        <v>79</v>
      </c>
      <c r="G5" s="144" t="s">
        <v>84</v>
      </c>
      <c r="H5" s="55"/>
      <c r="I5" s="152" t="s">
        <v>85</v>
      </c>
      <c r="J5" s="152" t="s">
        <v>86</v>
      </c>
      <c r="K5" s="152" t="s">
        <v>82</v>
      </c>
      <c r="L5" s="154" t="s">
        <v>87</v>
      </c>
    </row>
    <row r="6" spans="3:12" ht="43.5" customHeight="1" thickBot="1" x14ac:dyDescent="0.3">
      <c r="C6" s="224"/>
      <c r="D6" s="157" t="s">
        <v>72</v>
      </c>
      <c r="E6" s="143" t="s">
        <v>79</v>
      </c>
      <c r="F6" s="144" t="s">
        <v>84</v>
      </c>
      <c r="G6" s="145" t="s">
        <v>88</v>
      </c>
      <c r="H6" s="55"/>
      <c r="I6" s="152" t="s">
        <v>89</v>
      </c>
      <c r="J6" s="152" t="s">
        <v>82</v>
      </c>
      <c r="K6" s="152" t="s">
        <v>82</v>
      </c>
      <c r="L6" s="155" t="s">
        <v>90</v>
      </c>
    </row>
    <row r="7" spans="3:12" ht="43.5" customHeight="1" x14ac:dyDescent="0.25">
      <c r="I7" s="152" t="s">
        <v>91</v>
      </c>
      <c r="J7" s="152" t="s">
        <v>92</v>
      </c>
      <c r="K7" s="152" t="s">
        <v>92</v>
      </c>
      <c r="L7" s="158" t="s">
        <v>93</v>
      </c>
    </row>
    <row r="8" spans="3:12" ht="43.5" customHeight="1" x14ac:dyDescent="0.25">
      <c r="I8" s="156"/>
      <c r="J8" s="156"/>
      <c r="K8" s="156"/>
      <c r="L8" s="156"/>
    </row>
    <row r="9" spans="3:12" ht="43.5" customHeight="1" x14ac:dyDescent="0.25"/>
    <row r="10" spans="3:12" ht="43.5" customHeight="1" x14ac:dyDescent="0.25"/>
    <row r="11" spans="3:12" ht="43.5" customHeight="1" x14ac:dyDescent="0.25"/>
    <row r="12" spans="3:12" ht="43.5" customHeight="1" x14ac:dyDescent="0.25"/>
    <row r="13" spans="3:12" ht="43.5" customHeight="1" x14ac:dyDescent="0.25"/>
    <row r="14" spans="3:12" ht="43.5" customHeight="1" x14ac:dyDescent="0.25"/>
    <row r="15" spans="3:12" ht="43.5" customHeight="1" x14ac:dyDescent="0.25"/>
    <row r="16" spans="3:12" ht="43.5" customHeight="1" x14ac:dyDescent="0.25"/>
    <row r="17" ht="43.5" customHeight="1" x14ac:dyDescent="0.25"/>
    <row r="18" ht="43.5" customHeight="1" x14ac:dyDescent="0.25"/>
    <row r="19" ht="43.5" customHeight="1" x14ac:dyDescent="0.25"/>
    <row r="20" ht="43.5" customHeight="1" x14ac:dyDescent="0.25"/>
    <row r="21" ht="43.5" customHeight="1" x14ac:dyDescent="0.25"/>
    <row r="22" ht="43.5" customHeight="1" x14ac:dyDescent="0.25"/>
    <row r="23" ht="43.5" customHeight="1" x14ac:dyDescent="0.25"/>
    <row r="24" ht="43.5" customHeight="1" x14ac:dyDescent="0.25"/>
    <row r="25" ht="43.5" customHeight="1" x14ac:dyDescent="0.25"/>
    <row r="26" ht="43.5" customHeight="1" x14ac:dyDescent="0.25"/>
    <row r="27" ht="43.5" customHeight="1" x14ac:dyDescent="0.25"/>
    <row r="28" ht="43.5" customHeight="1" x14ac:dyDescent="0.25"/>
    <row r="29" ht="43.5" customHeight="1" x14ac:dyDescent="0.25"/>
    <row r="30" ht="43.5" customHeight="1" x14ac:dyDescent="0.25"/>
    <row r="31" ht="43.5" customHeight="1" x14ac:dyDescent="0.25"/>
    <row r="32" ht="43.5" customHeight="1" x14ac:dyDescent="0.25"/>
    <row r="33" ht="43.5" customHeight="1" x14ac:dyDescent="0.25"/>
    <row r="34" ht="43.5" customHeight="1" x14ac:dyDescent="0.25"/>
    <row r="35" ht="43.5" customHeight="1" x14ac:dyDescent="0.25"/>
    <row r="36" ht="43.5" customHeight="1" x14ac:dyDescent="0.25"/>
    <row r="37" ht="43.5" customHeight="1" x14ac:dyDescent="0.25"/>
    <row r="38" ht="43.5" customHeight="1" x14ac:dyDescent="0.25"/>
    <row r="39" ht="43.5" customHeight="1" x14ac:dyDescent="0.25"/>
    <row r="40" ht="43.5" customHeight="1" x14ac:dyDescent="0.25"/>
    <row r="41" ht="43.5" customHeight="1" x14ac:dyDescent="0.25"/>
    <row r="42" ht="43.5" customHeight="1" x14ac:dyDescent="0.25"/>
    <row r="43" ht="43.5" customHeight="1" x14ac:dyDescent="0.25"/>
    <row r="44" ht="43.5" customHeight="1" x14ac:dyDescent="0.25"/>
    <row r="45" ht="43.5" customHeight="1" x14ac:dyDescent="0.25"/>
    <row r="46" ht="43.5" customHeight="1" x14ac:dyDescent="0.25"/>
    <row r="47" ht="43.5" customHeight="1" x14ac:dyDescent="0.25"/>
    <row r="48" ht="43.5" customHeight="1" x14ac:dyDescent="0.25"/>
    <row r="49" ht="43.5" customHeight="1" x14ac:dyDescent="0.25"/>
    <row r="50" ht="43.5" customHeight="1" x14ac:dyDescent="0.25"/>
    <row r="51" ht="43.5" customHeight="1" x14ac:dyDescent="0.25"/>
    <row r="52" ht="43.5" customHeight="1" x14ac:dyDescent="0.25"/>
    <row r="53" ht="43.5" customHeight="1" x14ac:dyDescent="0.25"/>
    <row r="54" ht="43.5" customHeight="1" x14ac:dyDescent="0.25"/>
    <row r="55" ht="43.5" customHeight="1" x14ac:dyDescent="0.25"/>
    <row r="56" ht="43.5" customHeight="1" x14ac:dyDescent="0.25"/>
    <row r="57" ht="43.5" customHeight="1" x14ac:dyDescent="0.25"/>
    <row r="58" ht="43.5" customHeight="1" x14ac:dyDescent="0.25"/>
    <row r="59" ht="43.5" customHeight="1" x14ac:dyDescent="0.25"/>
    <row r="60" ht="43.5" customHeight="1" x14ac:dyDescent="0.25"/>
    <row r="61" ht="43.5" customHeight="1" x14ac:dyDescent="0.25"/>
    <row r="62" ht="43.5" customHeight="1" x14ac:dyDescent="0.25"/>
    <row r="63" ht="43.5" customHeight="1" x14ac:dyDescent="0.25"/>
    <row r="64" ht="43.5" customHeight="1" x14ac:dyDescent="0.25"/>
    <row r="65" ht="43.5" customHeight="1" x14ac:dyDescent="0.25"/>
    <row r="66" ht="43.5" customHeight="1" x14ac:dyDescent="0.25"/>
    <row r="67" ht="43.5" customHeight="1" x14ac:dyDescent="0.25"/>
    <row r="68" ht="43.5" customHeight="1" x14ac:dyDescent="0.25"/>
    <row r="69" ht="43.5" customHeight="1" x14ac:dyDescent="0.25"/>
    <row r="70" ht="54" customHeight="1" x14ac:dyDescent="0.25"/>
    <row r="71" ht="54" customHeight="1" x14ac:dyDescent="0.25"/>
    <row r="72" ht="54" customHeight="1" x14ac:dyDescent="0.25"/>
    <row r="73" ht="54" customHeight="1" x14ac:dyDescent="0.25"/>
    <row r="74" ht="54" customHeight="1" x14ac:dyDescent="0.25"/>
    <row r="75" ht="54" customHeight="1" x14ac:dyDescent="0.25"/>
  </sheetData>
  <mergeCells count="2">
    <mergeCell ref="E2:G2"/>
    <mergeCell ref="C4:C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COTIZACION (CLIENTE)</vt:lpstr>
      <vt:lpstr>Plantilla de cotización</vt:lpstr>
      <vt:lpstr>MATRIZ DE RIESGO</vt:lpstr>
      <vt:lpstr>'COTIZACION (CLIENTE)'!Área_de_impresión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Portal</dc:creator>
  <cp:lastModifiedBy>Matteo matteo Uccelli meneses</cp:lastModifiedBy>
  <cp:lastPrinted>2022-01-13T21:09:36Z</cp:lastPrinted>
  <dcterms:created xsi:type="dcterms:W3CDTF">2022-01-03T14:43:08Z</dcterms:created>
  <dcterms:modified xsi:type="dcterms:W3CDTF">2026-03-12T23:03:03Z</dcterms:modified>
</cp:coreProperties>
</file>