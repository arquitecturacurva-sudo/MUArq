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719C8C20-65C2-476D-BF67-4EBEBE2EAF20}" xr6:coauthVersionLast="47" xr6:coauthVersionMax="47" xr10:uidLastSave="{00000000-0000-0000-0000-000000000000}"/>
  <bookViews>
    <workbookView xWindow="-120" yWindow="-120" windowWidth="29040" windowHeight="15720" firstSheet="1" activeTab="7" xr2:uid="{00000000-000D-0000-FFFF-FFFF00000000}"/>
  </bookViews>
  <sheets>
    <sheet name="LISTAS + README" sheetId="1" r:id="rId1"/>
    <sheet name="DATOS GENERALES" sheetId="2" r:id="rId2"/>
    <sheet name="PRESUPUESTO BASE" sheetId="3" r:id="rId3"/>
    <sheet name="VALORIZACIÓN" sheetId="4" r:id="rId4"/>
    <sheet name="ADICIONALES" sheetId="5" r:id="rId5"/>
    <sheet name="CONTROL DE PAGOS" sheetId="6" r:id="rId6"/>
    <sheet name="RESUMEN" sheetId="7" r:id="rId7"/>
    <sheet name="PRESENTACIÓN" sheetId="8" r:id="rId8"/>
  </sheets>
  <definedNames>
    <definedName name="_xlchart.v1.0" hidden="1">PRESENTACIÓN!$K$12</definedName>
    <definedName name="_xlchart.v1.1" hidden="1">PRESENTACIÓN!$K$13:$K$22</definedName>
    <definedName name="_xlchart.v1.2" hidden="1">RESUMEN!$F$5:$F$14</definedName>
    <definedName name="_xlchart.v1.3" hidden="1">RESUMEN!$J$4</definedName>
    <definedName name="_xlchart.v1.4" hidden="1">RESUMEN!$J$5:$J$14</definedName>
    <definedName name="_xlchart.v1.5" hidden="1">PRESENTACIÓN!$K$12</definedName>
    <definedName name="_xlchart.v1.6" hidden="1">PRESENTACIÓN!$K$13:$K$22</definedName>
    <definedName name="_xlchart.v1.7" hidden="1">RESUMEN!$F$5:$F$14</definedName>
    <definedName name="_xlchart.v1.8" hidden="1">RESUMEN!$I$4</definedName>
    <definedName name="_xlchart.v1.9" hidden="1">RESUMEN!$I$5:$I$14</definedName>
    <definedName name="lstEstadosAdic">'LISTAS + README'!$A$56:$A$59</definedName>
    <definedName name="lstEstadosVal">'LISTAS + README'!$A$11:$A$15</definedName>
    <definedName name="lstMonedas">'LISTAS + README'!$A$51:$A$52</definedName>
    <definedName name="lstPeriodicidad">'LISTAS + README'!$A$37:$A$39</definedName>
    <definedName name="lstResponsables">'LISTAS + README'!$A$43:$A$47</definedName>
    <definedName name="lstTiposItem">'LISTAS + README'!$A$29:$A$33</definedName>
    <definedName name="lstUnidades">'LISTAS + README'!$A$19:$A$25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8" l="1"/>
  <c r="B8" i="8"/>
  <c r="B7" i="8"/>
  <c r="B6" i="8"/>
  <c r="B4" i="8"/>
  <c r="B5" i="8"/>
  <c r="B3" i="8"/>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B8" i="7" s="1"/>
  <c r="I4" i="5"/>
  <c r="B7" i="7" s="1"/>
  <c r="J103" i="4"/>
  <c r="F103" i="4"/>
  <c r="E103" i="4"/>
  <c r="K103" i="4" s="1"/>
  <c r="D103" i="4"/>
  <c r="C103" i="4"/>
  <c r="B103" i="4"/>
  <c r="A103" i="4"/>
  <c r="J102" i="4"/>
  <c r="F102" i="4"/>
  <c r="E102" i="4"/>
  <c r="K102" i="4" s="1"/>
  <c r="D102" i="4"/>
  <c r="C102" i="4"/>
  <c r="B102" i="4"/>
  <c r="A102" i="4"/>
  <c r="J101" i="4"/>
  <c r="F101" i="4"/>
  <c r="E101" i="4"/>
  <c r="D101" i="4"/>
  <c r="C101" i="4"/>
  <c r="B101" i="4"/>
  <c r="A101" i="4"/>
  <c r="J100" i="4"/>
  <c r="F100" i="4"/>
  <c r="E100" i="4"/>
  <c r="D100" i="4"/>
  <c r="C100" i="4"/>
  <c r="B100" i="4"/>
  <c r="A100" i="4"/>
  <c r="J99" i="4"/>
  <c r="F99" i="4"/>
  <c r="E99" i="4"/>
  <c r="K99" i="4" s="1"/>
  <c r="D99" i="4"/>
  <c r="C99" i="4"/>
  <c r="B99" i="4"/>
  <c r="A99" i="4"/>
  <c r="J98" i="4"/>
  <c r="F98" i="4"/>
  <c r="E98" i="4"/>
  <c r="K98" i="4" s="1"/>
  <c r="D98" i="4"/>
  <c r="C98" i="4"/>
  <c r="B98" i="4"/>
  <c r="A98" i="4"/>
  <c r="J97" i="4"/>
  <c r="F97" i="4"/>
  <c r="E97" i="4"/>
  <c r="D97" i="4"/>
  <c r="C97" i="4"/>
  <c r="B97" i="4"/>
  <c r="A97" i="4"/>
  <c r="J96" i="4"/>
  <c r="F96" i="4"/>
  <c r="E96" i="4"/>
  <c r="D96" i="4"/>
  <c r="C96" i="4"/>
  <c r="B96" i="4"/>
  <c r="A96" i="4"/>
  <c r="J95" i="4"/>
  <c r="F95" i="4"/>
  <c r="E95" i="4"/>
  <c r="K95" i="4" s="1"/>
  <c r="D95" i="4"/>
  <c r="C95" i="4"/>
  <c r="B95" i="4"/>
  <c r="A95" i="4"/>
  <c r="J94" i="4"/>
  <c r="F94" i="4"/>
  <c r="E94" i="4"/>
  <c r="K94" i="4" s="1"/>
  <c r="D94" i="4"/>
  <c r="C94" i="4"/>
  <c r="B94" i="4"/>
  <c r="A94" i="4"/>
  <c r="J93" i="4"/>
  <c r="F93" i="4"/>
  <c r="E93" i="4"/>
  <c r="K93" i="4" s="1"/>
  <c r="D93" i="4"/>
  <c r="C93" i="4"/>
  <c r="B93" i="4"/>
  <c r="A93" i="4"/>
  <c r="J92" i="4"/>
  <c r="F92" i="4"/>
  <c r="E92" i="4"/>
  <c r="D92" i="4"/>
  <c r="C92" i="4"/>
  <c r="B92" i="4"/>
  <c r="A92" i="4"/>
  <c r="J91" i="4"/>
  <c r="F91" i="4"/>
  <c r="E91" i="4"/>
  <c r="K91" i="4" s="1"/>
  <c r="D91" i="4"/>
  <c r="C91" i="4"/>
  <c r="B91" i="4"/>
  <c r="A91" i="4"/>
  <c r="J90" i="4"/>
  <c r="F90" i="4"/>
  <c r="E90" i="4"/>
  <c r="K90" i="4" s="1"/>
  <c r="D90" i="4"/>
  <c r="C90" i="4"/>
  <c r="B90" i="4"/>
  <c r="A90" i="4"/>
  <c r="J89" i="4"/>
  <c r="F89" i="4"/>
  <c r="E89" i="4"/>
  <c r="K89" i="4" s="1"/>
  <c r="D89" i="4"/>
  <c r="C89" i="4"/>
  <c r="B89" i="4"/>
  <c r="A89" i="4"/>
  <c r="J88" i="4"/>
  <c r="F88" i="4"/>
  <c r="E88" i="4"/>
  <c r="D88" i="4"/>
  <c r="C88" i="4"/>
  <c r="B88" i="4"/>
  <c r="A88" i="4"/>
  <c r="J87" i="4"/>
  <c r="F87" i="4"/>
  <c r="E87" i="4"/>
  <c r="K87" i="4" s="1"/>
  <c r="D87" i="4"/>
  <c r="C87" i="4"/>
  <c r="B87" i="4"/>
  <c r="A87" i="4"/>
  <c r="J86" i="4"/>
  <c r="F86" i="4"/>
  <c r="E86" i="4"/>
  <c r="K86" i="4" s="1"/>
  <c r="D86" i="4"/>
  <c r="C86" i="4"/>
  <c r="B86" i="4"/>
  <c r="A86" i="4"/>
  <c r="J85" i="4"/>
  <c r="F85" i="4"/>
  <c r="E85" i="4"/>
  <c r="D85" i="4"/>
  <c r="C85" i="4"/>
  <c r="B85" i="4"/>
  <c r="A85" i="4"/>
  <c r="J84" i="4"/>
  <c r="F84" i="4"/>
  <c r="E84" i="4"/>
  <c r="D84" i="4"/>
  <c r="C84" i="4"/>
  <c r="B84" i="4"/>
  <c r="A84" i="4"/>
  <c r="J83" i="4"/>
  <c r="F83" i="4"/>
  <c r="E83" i="4"/>
  <c r="K83" i="4" s="1"/>
  <c r="D83" i="4"/>
  <c r="C83" i="4"/>
  <c r="B83" i="4"/>
  <c r="A83" i="4"/>
  <c r="J82" i="4"/>
  <c r="F82" i="4"/>
  <c r="E82" i="4"/>
  <c r="K82" i="4" s="1"/>
  <c r="D82" i="4"/>
  <c r="C82" i="4"/>
  <c r="B82" i="4"/>
  <c r="A82" i="4"/>
  <c r="J81" i="4"/>
  <c r="F81" i="4"/>
  <c r="E81" i="4"/>
  <c r="D81" i="4"/>
  <c r="C81" i="4"/>
  <c r="B81" i="4"/>
  <c r="A81" i="4"/>
  <c r="J80" i="4"/>
  <c r="F80" i="4"/>
  <c r="E80" i="4"/>
  <c r="D80" i="4"/>
  <c r="C80" i="4"/>
  <c r="B80" i="4"/>
  <c r="A80" i="4"/>
  <c r="J79" i="4"/>
  <c r="F79" i="4"/>
  <c r="E79" i="4"/>
  <c r="K79" i="4" s="1"/>
  <c r="D79" i="4"/>
  <c r="C79" i="4"/>
  <c r="B79" i="4"/>
  <c r="A79" i="4"/>
  <c r="J78" i="4"/>
  <c r="F78" i="4"/>
  <c r="E78" i="4"/>
  <c r="K78" i="4" s="1"/>
  <c r="D78" i="4"/>
  <c r="C78" i="4"/>
  <c r="B78" i="4"/>
  <c r="A78" i="4"/>
  <c r="J77" i="4"/>
  <c r="F77" i="4"/>
  <c r="E77" i="4"/>
  <c r="D77" i="4"/>
  <c r="C77" i="4"/>
  <c r="B77" i="4"/>
  <c r="A77" i="4"/>
  <c r="J76" i="4"/>
  <c r="F76" i="4"/>
  <c r="E76" i="4"/>
  <c r="D76" i="4"/>
  <c r="C76" i="4"/>
  <c r="B76" i="4"/>
  <c r="A76" i="4"/>
  <c r="J75" i="4"/>
  <c r="F75" i="4"/>
  <c r="E75" i="4"/>
  <c r="K75" i="4" s="1"/>
  <c r="D75" i="4"/>
  <c r="C75" i="4"/>
  <c r="B75" i="4"/>
  <c r="A75" i="4"/>
  <c r="J74" i="4"/>
  <c r="F74" i="4"/>
  <c r="E74" i="4"/>
  <c r="D74" i="4"/>
  <c r="C74" i="4"/>
  <c r="B74" i="4"/>
  <c r="A74" i="4"/>
  <c r="J73" i="4"/>
  <c r="F73" i="4"/>
  <c r="E73" i="4"/>
  <c r="K73" i="4" s="1"/>
  <c r="D73" i="4"/>
  <c r="C73" i="4"/>
  <c r="B73" i="4"/>
  <c r="A73" i="4"/>
  <c r="J72" i="4"/>
  <c r="F72" i="4"/>
  <c r="E72" i="4"/>
  <c r="D72" i="4"/>
  <c r="C72" i="4"/>
  <c r="B72" i="4"/>
  <c r="A72" i="4"/>
  <c r="J71" i="4"/>
  <c r="F71" i="4"/>
  <c r="E71" i="4"/>
  <c r="K71" i="4" s="1"/>
  <c r="D71" i="4"/>
  <c r="C71" i="4"/>
  <c r="B71" i="4"/>
  <c r="A71" i="4"/>
  <c r="J70" i="4"/>
  <c r="F70" i="4"/>
  <c r="E70" i="4"/>
  <c r="K70" i="4" s="1"/>
  <c r="D70" i="4"/>
  <c r="C70" i="4"/>
  <c r="B70" i="4"/>
  <c r="A70" i="4"/>
  <c r="J69" i="4"/>
  <c r="F69" i="4"/>
  <c r="E69" i="4"/>
  <c r="D69" i="4"/>
  <c r="C69" i="4"/>
  <c r="B69" i="4"/>
  <c r="A69" i="4"/>
  <c r="J68" i="4"/>
  <c r="F68" i="4"/>
  <c r="E68" i="4"/>
  <c r="D68" i="4"/>
  <c r="C68" i="4"/>
  <c r="B68" i="4"/>
  <c r="A68" i="4"/>
  <c r="J67" i="4"/>
  <c r="F67" i="4"/>
  <c r="E67" i="4"/>
  <c r="K67" i="4" s="1"/>
  <c r="D67" i="4"/>
  <c r="C67" i="4"/>
  <c r="B67" i="4"/>
  <c r="A67" i="4"/>
  <c r="J66" i="4"/>
  <c r="F66" i="4"/>
  <c r="E66" i="4"/>
  <c r="K66" i="4" s="1"/>
  <c r="D66" i="4"/>
  <c r="C66" i="4"/>
  <c r="B66" i="4"/>
  <c r="A66" i="4"/>
  <c r="J65" i="4"/>
  <c r="F65" i="4"/>
  <c r="E65" i="4"/>
  <c r="K65" i="4" s="1"/>
  <c r="D65" i="4"/>
  <c r="C65" i="4"/>
  <c r="B65" i="4"/>
  <c r="A65" i="4"/>
  <c r="J64" i="4"/>
  <c r="F64" i="4"/>
  <c r="E64" i="4"/>
  <c r="D64" i="4"/>
  <c r="C64" i="4"/>
  <c r="B64" i="4"/>
  <c r="A64" i="4"/>
  <c r="J63" i="4"/>
  <c r="F63" i="4"/>
  <c r="E63" i="4"/>
  <c r="K63" i="4" s="1"/>
  <c r="D63" i="4"/>
  <c r="C63" i="4"/>
  <c r="B63" i="4"/>
  <c r="A63" i="4"/>
  <c r="J62" i="4"/>
  <c r="F62" i="4"/>
  <c r="E62" i="4"/>
  <c r="K62" i="4" s="1"/>
  <c r="D62" i="4"/>
  <c r="C62" i="4"/>
  <c r="B62" i="4"/>
  <c r="A62" i="4"/>
  <c r="J61" i="4"/>
  <c r="F61" i="4"/>
  <c r="E61" i="4"/>
  <c r="K61" i="4" s="1"/>
  <c r="D61" i="4"/>
  <c r="C61" i="4"/>
  <c r="B61" i="4"/>
  <c r="A61" i="4"/>
  <c r="J60" i="4"/>
  <c r="F60" i="4"/>
  <c r="E60" i="4"/>
  <c r="D60" i="4"/>
  <c r="C60" i="4"/>
  <c r="B60" i="4"/>
  <c r="A60" i="4"/>
  <c r="J59" i="4"/>
  <c r="F59" i="4"/>
  <c r="E59" i="4"/>
  <c r="K59" i="4" s="1"/>
  <c r="D59" i="4"/>
  <c r="C59" i="4"/>
  <c r="B59" i="4"/>
  <c r="A59" i="4"/>
  <c r="J58" i="4"/>
  <c r="F58" i="4"/>
  <c r="E58" i="4"/>
  <c r="K58" i="4" s="1"/>
  <c r="D58" i="4"/>
  <c r="C58" i="4"/>
  <c r="B58" i="4"/>
  <c r="A58" i="4"/>
  <c r="J57" i="4"/>
  <c r="F57" i="4"/>
  <c r="E57" i="4"/>
  <c r="K57" i="4" s="1"/>
  <c r="D57" i="4"/>
  <c r="C57" i="4"/>
  <c r="B57" i="4"/>
  <c r="A57" i="4"/>
  <c r="J56" i="4"/>
  <c r="F56" i="4"/>
  <c r="E56" i="4"/>
  <c r="K56" i="4" s="1"/>
  <c r="D56" i="4"/>
  <c r="C56" i="4"/>
  <c r="B56" i="4"/>
  <c r="A56" i="4"/>
  <c r="J55" i="4"/>
  <c r="F55" i="4"/>
  <c r="E55" i="4"/>
  <c r="K55" i="4" s="1"/>
  <c r="D55" i="4"/>
  <c r="C55" i="4"/>
  <c r="B55" i="4"/>
  <c r="A55" i="4"/>
  <c r="J54" i="4"/>
  <c r="F54" i="4"/>
  <c r="E54" i="4"/>
  <c r="K54" i="4" s="1"/>
  <c r="D54" i="4"/>
  <c r="C54" i="4"/>
  <c r="B54" i="4"/>
  <c r="A54" i="4"/>
  <c r="J53" i="4"/>
  <c r="F53" i="4"/>
  <c r="E53" i="4"/>
  <c r="K53" i="4" s="1"/>
  <c r="D53" i="4"/>
  <c r="C53" i="4"/>
  <c r="B53" i="4"/>
  <c r="A53" i="4"/>
  <c r="J52" i="4"/>
  <c r="F52" i="4"/>
  <c r="E52" i="4"/>
  <c r="K52" i="4" s="1"/>
  <c r="D52" i="4"/>
  <c r="C52" i="4"/>
  <c r="B52" i="4"/>
  <c r="A52" i="4"/>
  <c r="J51" i="4"/>
  <c r="F51" i="4"/>
  <c r="E51" i="4"/>
  <c r="K51" i="4" s="1"/>
  <c r="D51" i="4"/>
  <c r="C51" i="4"/>
  <c r="B51" i="4"/>
  <c r="A51" i="4"/>
  <c r="J50" i="4"/>
  <c r="F50" i="4"/>
  <c r="E50" i="4"/>
  <c r="K50" i="4" s="1"/>
  <c r="D50" i="4"/>
  <c r="C50" i="4"/>
  <c r="B50" i="4"/>
  <c r="A50" i="4"/>
  <c r="J49" i="4"/>
  <c r="F49" i="4"/>
  <c r="E49" i="4"/>
  <c r="K49" i="4" s="1"/>
  <c r="D49" i="4"/>
  <c r="C49" i="4"/>
  <c r="B49" i="4"/>
  <c r="A49" i="4"/>
  <c r="J48" i="4"/>
  <c r="F48" i="4"/>
  <c r="E48" i="4"/>
  <c r="D48" i="4"/>
  <c r="C48" i="4"/>
  <c r="B48" i="4"/>
  <c r="A48" i="4"/>
  <c r="J47" i="4"/>
  <c r="F47" i="4"/>
  <c r="E47" i="4"/>
  <c r="K47" i="4" s="1"/>
  <c r="D47" i="4"/>
  <c r="C47" i="4"/>
  <c r="B47" i="4"/>
  <c r="A47" i="4"/>
  <c r="J46" i="4"/>
  <c r="F46" i="4"/>
  <c r="E46" i="4"/>
  <c r="K46" i="4" s="1"/>
  <c r="D46" i="4"/>
  <c r="C46" i="4"/>
  <c r="B46" i="4"/>
  <c r="A46" i="4"/>
  <c r="J45" i="4"/>
  <c r="F45" i="4"/>
  <c r="E45" i="4"/>
  <c r="K45" i="4" s="1"/>
  <c r="D45" i="4"/>
  <c r="C45" i="4"/>
  <c r="B45" i="4"/>
  <c r="A45" i="4"/>
  <c r="J44" i="4"/>
  <c r="F44" i="4"/>
  <c r="E44" i="4"/>
  <c r="D44" i="4"/>
  <c r="C44" i="4"/>
  <c r="B44" i="4"/>
  <c r="A44" i="4"/>
  <c r="J43" i="4"/>
  <c r="F43" i="4"/>
  <c r="E43" i="4"/>
  <c r="K43" i="4" s="1"/>
  <c r="D43" i="4"/>
  <c r="C43" i="4"/>
  <c r="B43" i="4"/>
  <c r="A43" i="4"/>
  <c r="J42" i="4"/>
  <c r="F42" i="4"/>
  <c r="E42" i="4"/>
  <c r="K42" i="4" s="1"/>
  <c r="D42" i="4"/>
  <c r="C42" i="4"/>
  <c r="B42" i="4"/>
  <c r="A42" i="4"/>
  <c r="J41" i="4"/>
  <c r="F41" i="4"/>
  <c r="E41" i="4"/>
  <c r="D41" i="4"/>
  <c r="C41" i="4"/>
  <c r="B41" i="4"/>
  <c r="A41" i="4"/>
  <c r="J40" i="4"/>
  <c r="F40" i="4"/>
  <c r="E40" i="4"/>
  <c r="D40" i="4"/>
  <c r="C40" i="4"/>
  <c r="B40" i="4"/>
  <c r="A40" i="4"/>
  <c r="J39" i="4"/>
  <c r="F39" i="4"/>
  <c r="E39" i="4"/>
  <c r="K39" i="4" s="1"/>
  <c r="D39" i="4"/>
  <c r="C39" i="4"/>
  <c r="B39" i="4"/>
  <c r="A39" i="4"/>
  <c r="J38" i="4"/>
  <c r="F38" i="4"/>
  <c r="E38" i="4"/>
  <c r="K38" i="4" s="1"/>
  <c r="D38" i="4"/>
  <c r="C38" i="4"/>
  <c r="B38" i="4"/>
  <c r="A38" i="4"/>
  <c r="J37" i="4"/>
  <c r="F37" i="4"/>
  <c r="E37" i="4"/>
  <c r="D37" i="4"/>
  <c r="C37" i="4"/>
  <c r="B37" i="4"/>
  <c r="A37" i="4"/>
  <c r="J36" i="4"/>
  <c r="F36" i="4"/>
  <c r="E36" i="4"/>
  <c r="D36" i="4"/>
  <c r="C36" i="4"/>
  <c r="B36" i="4"/>
  <c r="A36" i="4"/>
  <c r="J35" i="4"/>
  <c r="F35" i="4"/>
  <c r="E35" i="4"/>
  <c r="K35" i="4" s="1"/>
  <c r="D35" i="4"/>
  <c r="C35" i="4"/>
  <c r="B35" i="4"/>
  <c r="A35" i="4"/>
  <c r="J34" i="4"/>
  <c r="F34" i="4"/>
  <c r="E34" i="4"/>
  <c r="K34" i="4" s="1"/>
  <c r="D34" i="4"/>
  <c r="C34" i="4"/>
  <c r="B34" i="4"/>
  <c r="A34" i="4"/>
  <c r="J33" i="4"/>
  <c r="F33" i="4"/>
  <c r="E33" i="4"/>
  <c r="D33" i="4"/>
  <c r="C33" i="4"/>
  <c r="B33" i="4"/>
  <c r="A33" i="4"/>
  <c r="J32" i="4"/>
  <c r="F32" i="4"/>
  <c r="E32" i="4"/>
  <c r="D32" i="4"/>
  <c r="C32" i="4"/>
  <c r="B32" i="4"/>
  <c r="A32" i="4"/>
  <c r="J31" i="4"/>
  <c r="F31" i="4"/>
  <c r="E31" i="4"/>
  <c r="K31" i="4" s="1"/>
  <c r="D31" i="4"/>
  <c r="C31" i="4"/>
  <c r="B31" i="4"/>
  <c r="A31" i="4"/>
  <c r="J30" i="4"/>
  <c r="F30" i="4"/>
  <c r="E30" i="4"/>
  <c r="K30" i="4" s="1"/>
  <c r="D30" i="4"/>
  <c r="C30" i="4"/>
  <c r="B30" i="4"/>
  <c r="A30" i="4"/>
  <c r="J29" i="4"/>
  <c r="F29" i="4"/>
  <c r="E29" i="4"/>
  <c r="K29" i="4" s="1"/>
  <c r="D29" i="4"/>
  <c r="C29" i="4"/>
  <c r="B29" i="4"/>
  <c r="A29" i="4"/>
  <c r="J28" i="4"/>
  <c r="F28" i="4"/>
  <c r="E28" i="4"/>
  <c r="K28" i="4" s="1"/>
  <c r="D28" i="4"/>
  <c r="C28" i="4"/>
  <c r="B28" i="4"/>
  <c r="A28" i="4"/>
  <c r="J27" i="4"/>
  <c r="F27" i="4"/>
  <c r="E27" i="4"/>
  <c r="K27" i="4" s="1"/>
  <c r="D27" i="4"/>
  <c r="C27" i="4"/>
  <c r="B27" i="4"/>
  <c r="A27" i="4"/>
  <c r="J26" i="4"/>
  <c r="F26" i="4"/>
  <c r="E26" i="4"/>
  <c r="K26" i="4" s="1"/>
  <c r="D26" i="4"/>
  <c r="C26" i="4"/>
  <c r="B26" i="4"/>
  <c r="A26" i="4"/>
  <c r="J25" i="4"/>
  <c r="F25" i="4"/>
  <c r="E25" i="4"/>
  <c r="D25" i="4"/>
  <c r="C25" i="4"/>
  <c r="B25" i="4"/>
  <c r="A25" i="4"/>
  <c r="J24" i="4"/>
  <c r="F24" i="4"/>
  <c r="E24" i="4"/>
  <c r="K24" i="4" s="1"/>
  <c r="D24" i="4"/>
  <c r="C24" i="4"/>
  <c r="B24" i="4"/>
  <c r="A24" i="4"/>
  <c r="J23" i="4"/>
  <c r="F23" i="4"/>
  <c r="E23" i="4"/>
  <c r="K23" i="4" s="1"/>
  <c r="D23" i="4"/>
  <c r="C23" i="4"/>
  <c r="B23" i="4"/>
  <c r="A23" i="4"/>
  <c r="J22" i="4"/>
  <c r="F22" i="4"/>
  <c r="E22" i="4"/>
  <c r="K22" i="4" s="1"/>
  <c r="D22" i="4"/>
  <c r="C22" i="4"/>
  <c r="B22" i="4"/>
  <c r="A22" i="4"/>
  <c r="J21" i="4"/>
  <c r="F21" i="4"/>
  <c r="E21" i="4"/>
  <c r="K21" i="4" s="1"/>
  <c r="D21" i="4"/>
  <c r="C21" i="4"/>
  <c r="B21" i="4"/>
  <c r="A21" i="4"/>
  <c r="J20" i="4"/>
  <c r="F20" i="4"/>
  <c r="E20" i="4"/>
  <c r="D20" i="4"/>
  <c r="C20" i="4"/>
  <c r="B20" i="4"/>
  <c r="A20" i="4"/>
  <c r="J19" i="4"/>
  <c r="F19" i="4"/>
  <c r="E19" i="4"/>
  <c r="K19" i="4" s="1"/>
  <c r="D19" i="4"/>
  <c r="C19" i="4"/>
  <c r="B19" i="4"/>
  <c r="A19" i="4"/>
  <c r="J18" i="4"/>
  <c r="F18" i="4"/>
  <c r="E18" i="4"/>
  <c r="K18" i="4" s="1"/>
  <c r="D18" i="4"/>
  <c r="C18" i="4"/>
  <c r="B18" i="4"/>
  <c r="A18" i="4"/>
  <c r="J17" i="4"/>
  <c r="F17" i="4"/>
  <c r="E17" i="4"/>
  <c r="D17" i="4"/>
  <c r="C17" i="4"/>
  <c r="B17" i="4"/>
  <c r="A17" i="4"/>
  <c r="J16" i="4"/>
  <c r="F16" i="4"/>
  <c r="E16" i="4"/>
  <c r="D16" i="4"/>
  <c r="C16" i="4"/>
  <c r="B16" i="4"/>
  <c r="A16" i="4"/>
  <c r="J15" i="4"/>
  <c r="F15" i="4"/>
  <c r="E15" i="4"/>
  <c r="K15" i="4" s="1"/>
  <c r="D15" i="4"/>
  <c r="C15" i="4"/>
  <c r="B15" i="4"/>
  <c r="A15" i="4"/>
  <c r="J14" i="4"/>
  <c r="F14" i="4"/>
  <c r="E14" i="4"/>
  <c r="K14" i="4" s="1"/>
  <c r="D14" i="4"/>
  <c r="C14" i="4"/>
  <c r="B14" i="4"/>
  <c r="A14" i="4"/>
  <c r="J13" i="4"/>
  <c r="F13" i="4"/>
  <c r="E13" i="4"/>
  <c r="D13" i="4"/>
  <c r="C13" i="4"/>
  <c r="B13" i="4"/>
  <c r="A13" i="4"/>
  <c r="J12" i="4"/>
  <c r="F12" i="4"/>
  <c r="E12" i="4"/>
  <c r="K12" i="4" s="1"/>
  <c r="D12" i="4"/>
  <c r="C12" i="4"/>
  <c r="B12" i="4"/>
  <c r="A12" i="4"/>
  <c r="J11" i="4"/>
  <c r="F11" i="4"/>
  <c r="E11" i="4"/>
  <c r="K11" i="4" s="1"/>
  <c r="D11" i="4"/>
  <c r="C11" i="4"/>
  <c r="B11" i="4"/>
  <c r="A11" i="4"/>
  <c r="J10" i="4"/>
  <c r="F10" i="4"/>
  <c r="E10" i="4"/>
  <c r="K10" i="4" s="1"/>
  <c r="D10" i="4"/>
  <c r="C10" i="4"/>
  <c r="B10" i="4"/>
  <c r="A10" i="4"/>
  <c r="J9" i="4"/>
  <c r="F9" i="4"/>
  <c r="E9" i="4"/>
  <c r="D9" i="4"/>
  <c r="C9" i="4"/>
  <c r="B9" i="4"/>
  <c r="A9" i="4"/>
  <c r="J8" i="4"/>
  <c r="F8" i="4"/>
  <c r="E8" i="4"/>
  <c r="K8" i="4" s="1"/>
  <c r="D8" i="4"/>
  <c r="C8" i="4"/>
  <c r="B8" i="4"/>
  <c r="A8" i="4"/>
  <c r="J7" i="4"/>
  <c r="F7" i="4"/>
  <c r="E7" i="4"/>
  <c r="K7" i="4" s="1"/>
  <c r="D7" i="4"/>
  <c r="C7" i="4"/>
  <c r="B7" i="4"/>
  <c r="A7" i="4"/>
  <c r="J6" i="4"/>
  <c r="F6" i="4"/>
  <c r="E6" i="4"/>
  <c r="K6" i="4" s="1"/>
  <c r="D6" i="4"/>
  <c r="C6" i="4"/>
  <c r="B6" i="4"/>
  <c r="A6" i="4"/>
  <c r="J5" i="4"/>
  <c r="F5" i="4"/>
  <c r="E5" i="4"/>
  <c r="K5" i="4" s="1"/>
  <c r="D5" i="4"/>
  <c r="C5" i="4"/>
  <c r="B5" i="4"/>
  <c r="A5" i="4"/>
  <c r="J4" i="4"/>
  <c r="F4" i="4"/>
  <c r="E4" i="4"/>
  <c r="K4" i="4" s="1"/>
  <c r="D4" i="4"/>
  <c r="C4" i="4"/>
  <c r="B4" i="4"/>
  <c r="A4" i="4"/>
  <c r="H103" i="3"/>
  <c r="G103" i="4" s="1"/>
  <c r="M103" i="4" s="1"/>
  <c r="H102" i="3"/>
  <c r="G102" i="4" s="1"/>
  <c r="N102" i="4" s="1"/>
  <c r="S102" i="4" s="1"/>
  <c r="H101" i="3"/>
  <c r="G101" i="4" s="1"/>
  <c r="H100" i="3"/>
  <c r="G100" i="4" s="1"/>
  <c r="H99" i="3"/>
  <c r="G99" i="4" s="1"/>
  <c r="M99" i="4" s="1"/>
  <c r="H98" i="3"/>
  <c r="G98" i="4" s="1"/>
  <c r="M98" i="4" s="1"/>
  <c r="H97" i="3"/>
  <c r="H96" i="3"/>
  <c r="G96" i="4" s="1"/>
  <c r="H95" i="3"/>
  <c r="G95" i="4" s="1"/>
  <c r="H94" i="3"/>
  <c r="H93" i="3"/>
  <c r="H92" i="3"/>
  <c r="G92" i="4" s="1"/>
  <c r="H91" i="3"/>
  <c r="G91" i="4" s="1"/>
  <c r="N91" i="4" s="1"/>
  <c r="S91" i="4" s="1"/>
  <c r="H90" i="3"/>
  <c r="G90" i="4" s="1"/>
  <c r="M90" i="4" s="1"/>
  <c r="H89" i="3"/>
  <c r="G89" i="4" s="1"/>
  <c r="H88" i="3"/>
  <c r="G88" i="4" s="1"/>
  <c r="N88" i="4" s="1"/>
  <c r="S88" i="4" s="1"/>
  <c r="H87" i="3"/>
  <c r="H86" i="3"/>
  <c r="G86" i="4" s="1"/>
  <c r="M86" i="4" s="1"/>
  <c r="H85" i="3"/>
  <c r="G85" i="4" s="1"/>
  <c r="H84" i="3"/>
  <c r="G84" i="4" s="1"/>
  <c r="N84" i="4" s="1"/>
  <c r="S84" i="4" s="1"/>
  <c r="H83" i="3"/>
  <c r="G83" i="4" s="1"/>
  <c r="M83" i="4" s="1"/>
  <c r="H82" i="3"/>
  <c r="G82" i="4" s="1"/>
  <c r="M82" i="4" s="1"/>
  <c r="H81" i="3"/>
  <c r="G81" i="4" s="1"/>
  <c r="H80" i="3"/>
  <c r="G80" i="4" s="1"/>
  <c r="N80" i="4" s="1"/>
  <c r="S80" i="4" s="1"/>
  <c r="H79" i="3"/>
  <c r="G79" i="4" s="1"/>
  <c r="H78" i="3"/>
  <c r="G78" i="4" s="1"/>
  <c r="H77" i="3"/>
  <c r="H76" i="3"/>
  <c r="G76" i="4" s="1"/>
  <c r="H75" i="3"/>
  <c r="G75" i="4" s="1"/>
  <c r="H74" i="3"/>
  <c r="G74" i="4" s="1"/>
  <c r="H73" i="3"/>
  <c r="G73" i="4" s="1"/>
  <c r="M73" i="4" s="1"/>
  <c r="H72" i="3"/>
  <c r="G72" i="4" s="1"/>
  <c r="H71" i="3"/>
  <c r="G71" i="4" s="1"/>
  <c r="H70" i="3"/>
  <c r="G70" i="4" s="1"/>
  <c r="H69" i="3"/>
  <c r="G69" i="4" s="1"/>
  <c r="M69" i="4" s="1"/>
  <c r="H68" i="3"/>
  <c r="G68" i="4" s="1"/>
  <c r="N68" i="4" s="1"/>
  <c r="S68" i="4" s="1"/>
  <c r="H67" i="3"/>
  <c r="H66" i="3"/>
  <c r="H65" i="3"/>
  <c r="G65" i="4" s="1"/>
  <c r="H64" i="3"/>
  <c r="G64" i="4" s="1"/>
  <c r="H63" i="3"/>
  <c r="G63" i="4" s="1"/>
  <c r="M63" i="4" s="1"/>
  <c r="H62" i="3"/>
  <c r="G62" i="4" s="1"/>
  <c r="H61" i="3"/>
  <c r="G61" i="4" s="1"/>
  <c r="H60" i="3"/>
  <c r="H59" i="3"/>
  <c r="G59" i="4" s="1"/>
  <c r="M59" i="4" s="1"/>
  <c r="H58" i="3"/>
  <c r="G58" i="4" s="1"/>
  <c r="M58" i="4" s="1"/>
  <c r="H57" i="3"/>
  <c r="G57" i="4" s="1"/>
  <c r="H56" i="3"/>
  <c r="H55" i="3"/>
  <c r="G55" i="4" s="1"/>
  <c r="M55" i="4" s="1"/>
  <c r="H54" i="3"/>
  <c r="G54" i="4" s="1"/>
  <c r="H53" i="3"/>
  <c r="G53" i="4" s="1"/>
  <c r="H52" i="3"/>
  <c r="G52" i="4" s="1"/>
  <c r="N52" i="4" s="1"/>
  <c r="S52" i="4" s="1"/>
  <c r="H51" i="3"/>
  <c r="G51" i="4" s="1"/>
  <c r="H50" i="3"/>
  <c r="G50" i="4" s="1"/>
  <c r="H49" i="3"/>
  <c r="G49" i="4" s="1"/>
  <c r="N49" i="4" s="1"/>
  <c r="S49" i="4" s="1"/>
  <c r="H48" i="3"/>
  <c r="G48" i="4" s="1"/>
  <c r="H47" i="3"/>
  <c r="H46" i="3"/>
  <c r="G46" i="4" s="1"/>
  <c r="H45" i="3"/>
  <c r="H44" i="3"/>
  <c r="G44" i="4" s="1"/>
  <c r="N44" i="4" s="1"/>
  <c r="S44" i="4" s="1"/>
  <c r="H43" i="3"/>
  <c r="G43" i="4" s="1"/>
  <c r="H42" i="3"/>
  <c r="G42" i="4" s="1"/>
  <c r="N42" i="4" s="1"/>
  <c r="S42" i="4" s="1"/>
  <c r="H41" i="3"/>
  <c r="G41" i="4" s="1"/>
  <c r="H40" i="3"/>
  <c r="G40" i="4" s="1"/>
  <c r="H39" i="3"/>
  <c r="G39" i="4" s="1"/>
  <c r="M39" i="4" s="1"/>
  <c r="H38" i="3"/>
  <c r="G38" i="4" s="1"/>
  <c r="H37" i="3"/>
  <c r="H36" i="3"/>
  <c r="G36" i="4" s="1"/>
  <c r="H35" i="3"/>
  <c r="G35" i="4" s="1"/>
  <c r="H34" i="3"/>
  <c r="H33" i="3"/>
  <c r="G33" i="4" s="1"/>
  <c r="H32" i="3"/>
  <c r="G32" i="4" s="1"/>
  <c r="H31" i="3"/>
  <c r="G31" i="4" s="1"/>
  <c r="H30" i="3"/>
  <c r="G30" i="4" s="1"/>
  <c r="N30" i="4" s="1"/>
  <c r="S30" i="4" s="1"/>
  <c r="H29" i="3"/>
  <c r="G29" i="4" s="1"/>
  <c r="H28" i="3"/>
  <c r="G28" i="4" s="1"/>
  <c r="M28" i="4" s="1"/>
  <c r="H27" i="3"/>
  <c r="H26" i="3"/>
  <c r="G26" i="4" s="1"/>
  <c r="H25" i="3"/>
  <c r="G25" i="4" s="1"/>
  <c r="H24" i="3"/>
  <c r="G24" i="4" s="1"/>
  <c r="M24" i="4" s="1"/>
  <c r="H23" i="3"/>
  <c r="H22" i="3"/>
  <c r="G22" i="4" s="1"/>
  <c r="H21" i="3"/>
  <c r="G21" i="4" s="1"/>
  <c r="H20" i="3"/>
  <c r="G20" i="4" s="1"/>
  <c r="H19" i="3"/>
  <c r="G19" i="4" s="1"/>
  <c r="M19" i="4" s="1"/>
  <c r="H18" i="3"/>
  <c r="G18" i="4" s="1"/>
  <c r="H17" i="3"/>
  <c r="G17" i="4" s="1"/>
  <c r="H16" i="3"/>
  <c r="G16" i="4" s="1"/>
  <c r="H15" i="3"/>
  <c r="H14" i="3"/>
  <c r="G14" i="4" s="1"/>
  <c r="N14" i="4" s="1"/>
  <c r="S14" i="4" s="1"/>
  <c r="H13" i="3"/>
  <c r="G13" i="4" s="1"/>
  <c r="N13" i="4" s="1"/>
  <c r="H12" i="3"/>
  <c r="G12" i="4" s="1"/>
  <c r="H11" i="3"/>
  <c r="G11" i="4" s="1"/>
  <c r="M11" i="4" s="1"/>
  <c r="H10" i="3"/>
  <c r="G10" i="4" s="1"/>
  <c r="H9" i="3"/>
  <c r="G9" i="4" s="1"/>
  <c r="M9" i="4" s="1"/>
  <c r="H8" i="3"/>
  <c r="G8" i="4" s="1"/>
  <c r="M8" i="4" s="1"/>
  <c r="H7" i="3"/>
  <c r="H6" i="3"/>
  <c r="G6" i="4" s="1"/>
  <c r="H5" i="3"/>
  <c r="H4" i="3"/>
  <c r="L103" i="4" l="1"/>
  <c r="L69" i="4"/>
  <c r="O36" i="4"/>
  <c r="M30" i="4"/>
  <c r="L85" i="4"/>
  <c r="L66" i="4"/>
  <c r="O41" i="4"/>
  <c r="P41" i="4" s="1"/>
  <c r="O88" i="4"/>
  <c r="P88" i="4" s="1"/>
  <c r="L58" i="4"/>
  <c r="O64" i="4"/>
  <c r="P64" i="4" s="1"/>
  <c r="L32" i="4"/>
  <c r="L98" i="4"/>
  <c r="O59" i="4"/>
  <c r="P59" i="4" s="1"/>
  <c r="O81" i="4"/>
  <c r="P81" i="4" s="1"/>
  <c r="O101" i="4"/>
  <c r="P101" i="4" s="1"/>
  <c r="N58" i="4"/>
  <c r="S58" i="4" s="1"/>
  <c r="O92" i="4"/>
  <c r="P92" i="4" s="1"/>
  <c r="O103" i="4"/>
  <c r="P103" i="4" s="1"/>
  <c r="L21" i="4"/>
  <c r="L90" i="4"/>
  <c r="O40" i="4"/>
  <c r="P40" i="4" s="1"/>
  <c r="N59" i="4"/>
  <c r="S59" i="4" s="1"/>
  <c r="O80" i="4"/>
  <c r="P80" i="4" s="1"/>
  <c r="L22" i="4"/>
  <c r="L67" i="4"/>
  <c r="L75" i="4"/>
  <c r="L25" i="4"/>
  <c r="N24" i="4"/>
  <c r="S24" i="4" s="1"/>
  <c r="O24" i="4"/>
  <c r="P24" i="4" s="1"/>
  <c r="O96" i="4"/>
  <c r="P96" i="4" s="1"/>
  <c r="N28" i="4"/>
  <c r="S28" i="4" s="1"/>
  <c r="O58" i="4"/>
  <c r="P58" i="4" s="1"/>
  <c r="L6" i="4"/>
  <c r="O16" i="4"/>
  <c r="P16" i="4" s="1"/>
  <c r="O57" i="4"/>
  <c r="P57" i="4" s="1"/>
  <c r="L39" i="4"/>
  <c r="L55" i="4"/>
  <c r="L87" i="4"/>
  <c r="L93" i="4"/>
  <c r="L15" i="4"/>
  <c r="O78" i="4"/>
  <c r="P78" i="4" s="1"/>
  <c r="O98" i="4"/>
  <c r="P98" i="4" s="1"/>
  <c r="O69" i="4"/>
  <c r="P69" i="4" s="1"/>
  <c r="O14" i="4"/>
  <c r="P14" i="4" s="1"/>
  <c r="O35" i="4"/>
  <c r="P35" i="4" s="1"/>
  <c r="O13" i="4"/>
  <c r="P13" i="4" s="1"/>
  <c r="K14" i="7" s="1"/>
  <c r="K22" i="8" s="1"/>
  <c r="M31" i="4"/>
  <c r="N31" i="4"/>
  <c r="S31" i="4" s="1"/>
  <c r="M51" i="4"/>
  <c r="O51" i="4"/>
  <c r="P51" i="4" s="1"/>
  <c r="L74" i="4"/>
  <c r="K74" i="4"/>
  <c r="L86" i="4"/>
  <c r="O86" i="4"/>
  <c r="P86" i="4" s="1"/>
  <c r="L65" i="4"/>
  <c r="K9" i="4"/>
  <c r="L9" i="4"/>
  <c r="L47" i="4"/>
  <c r="I52" i="3"/>
  <c r="N11" i="4"/>
  <c r="M14" i="4"/>
  <c r="L29" i="4"/>
  <c r="M42" i="4"/>
  <c r="I92" i="3"/>
  <c r="I54" i="3"/>
  <c r="N92" i="4"/>
  <c r="S92" i="4" s="1"/>
  <c r="N41" i="4"/>
  <c r="S41" i="4" s="1"/>
  <c r="M41" i="4"/>
  <c r="M71" i="4"/>
  <c r="O71" i="4"/>
  <c r="P71" i="4" s="1"/>
  <c r="N71" i="4"/>
  <c r="S71" i="4" s="1"/>
  <c r="N72" i="4"/>
  <c r="S72" i="4" s="1"/>
  <c r="O72" i="4"/>
  <c r="P72" i="4" s="1"/>
  <c r="O102" i="4"/>
  <c r="P102" i="4" s="1"/>
  <c r="I15" i="3"/>
  <c r="L30" i="4"/>
  <c r="O30" i="4"/>
  <c r="P30" i="4" s="1"/>
  <c r="L38" i="4"/>
  <c r="N21" i="4"/>
  <c r="S21" i="4" s="1"/>
  <c r="M21" i="4"/>
  <c r="M91" i="4"/>
  <c r="O91" i="4"/>
  <c r="P91" i="4" s="1"/>
  <c r="N32" i="4"/>
  <c r="S32" i="4" s="1"/>
  <c r="M32" i="4"/>
  <c r="I93" i="3"/>
  <c r="G15" i="4"/>
  <c r="N15" i="4" s="1"/>
  <c r="S15" i="4" s="1"/>
  <c r="L41" i="4"/>
  <c r="K41" i="4"/>
  <c r="L54" i="4"/>
  <c r="L63" i="4"/>
  <c r="L79" i="4"/>
  <c r="L99" i="4"/>
  <c r="I75" i="3"/>
  <c r="L27" i="4"/>
  <c r="I36" i="3"/>
  <c r="L7" i="4"/>
  <c r="L18" i="4"/>
  <c r="O52" i="4"/>
  <c r="P52" i="4" s="1"/>
  <c r="N63" i="4"/>
  <c r="S63" i="4" s="1"/>
  <c r="M36" i="4"/>
  <c r="L61" i="4"/>
  <c r="O63" i="4"/>
  <c r="P63" i="4" s="1"/>
  <c r="O68" i="4"/>
  <c r="P68" i="4" s="1"/>
  <c r="L70" i="4"/>
  <c r="L34" i="4"/>
  <c r="L50" i="4"/>
  <c r="L95" i="4"/>
  <c r="L5" i="4"/>
  <c r="L12" i="4"/>
  <c r="L14" i="4"/>
  <c r="L23" i="4"/>
  <c r="K25" i="4"/>
  <c r="L48" i="4"/>
  <c r="L57" i="4"/>
  <c r="L59" i="4"/>
  <c r="L102" i="4"/>
  <c r="L43" i="4"/>
  <c r="L82" i="4"/>
  <c r="L89" i="4"/>
  <c r="L91" i="4"/>
  <c r="L46" i="4"/>
  <c r="L53" i="4"/>
  <c r="N64" i="4"/>
  <c r="S64" i="4" s="1"/>
  <c r="L73" i="4"/>
  <c r="L78" i="4"/>
  <c r="N98" i="4"/>
  <c r="S98" i="4" s="1"/>
  <c r="I99" i="3"/>
  <c r="I43" i="3"/>
  <c r="L10" i="4"/>
  <c r="L19" i="4"/>
  <c r="I66" i="3"/>
  <c r="L44" i="4"/>
  <c r="L62" i="4"/>
  <c r="L71" i="4"/>
  <c r="L26" i="4"/>
  <c r="L35" i="4"/>
  <c r="L51" i="4"/>
  <c r="K69" i="4"/>
  <c r="N96" i="4"/>
  <c r="S96" i="4" s="1"/>
  <c r="L101" i="4"/>
  <c r="O42" i="4"/>
  <c r="P42" i="4" s="1"/>
  <c r="K44" i="4"/>
  <c r="L49" i="4"/>
  <c r="L83" i="4"/>
  <c r="L94" i="4"/>
  <c r="O38" i="4"/>
  <c r="P38" i="4" s="1"/>
  <c r="N38" i="4"/>
  <c r="S38" i="4" s="1"/>
  <c r="M38" i="4"/>
  <c r="O26" i="4"/>
  <c r="P26" i="4" s="1"/>
  <c r="N26" i="4"/>
  <c r="S26" i="4" s="1"/>
  <c r="M26" i="4"/>
  <c r="N65" i="4"/>
  <c r="S65" i="4" s="1"/>
  <c r="M65" i="4"/>
  <c r="O65" i="4"/>
  <c r="P65" i="4" s="1"/>
  <c r="O70" i="4"/>
  <c r="P70" i="4" s="1"/>
  <c r="N70" i="4"/>
  <c r="S70" i="4" s="1"/>
  <c r="M70" i="4"/>
  <c r="B18" i="7"/>
  <c r="B13" i="8"/>
  <c r="D7" i="8"/>
  <c r="I78" i="3"/>
  <c r="I9" i="3"/>
  <c r="I53" i="3"/>
  <c r="O17" i="4"/>
  <c r="P17" i="4" s="1"/>
  <c r="L45" i="4"/>
  <c r="O12" i="4"/>
  <c r="P12" i="4" s="1"/>
  <c r="K13" i="7" s="1"/>
  <c r="K21" i="8" s="1"/>
  <c r="L36" i="4"/>
  <c r="K36" i="4"/>
  <c r="I26" i="3"/>
  <c r="L60" i="4"/>
  <c r="K60" i="4"/>
  <c r="N62" i="4"/>
  <c r="S62" i="4" s="1"/>
  <c r="O62" i="4"/>
  <c r="P62" i="4" s="1"/>
  <c r="M62" i="4"/>
  <c r="M75" i="4"/>
  <c r="O75" i="4"/>
  <c r="P75" i="4" s="1"/>
  <c r="N75" i="4"/>
  <c r="S75" i="4" s="1"/>
  <c r="N85" i="4"/>
  <c r="S85" i="4" s="1"/>
  <c r="M85" i="4"/>
  <c r="O85" i="4"/>
  <c r="P85" i="4" s="1"/>
  <c r="L97" i="4"/>
  <c r="K97" i="4"/>
  <c r="I70" i="3"/>
  <c r="G23" i="4"/>
  <c r="M79" i="4"/>
  <c r="O79" i="4"/>
  <c r="P79" i="4" s="1"/>
  <c r="N79" i="4"/>
  <c r="S79" i="4" s="1"/>
  <c r="N89" i="4"/>
  <c r="S89" i="4" s="1"/>
  <c r="M89" i="4"/>
  <c r="O89" i="4"/>
  <c r="P89" i="4" s="1"/>
  <c r="I71" i="3"/>
  <c r="I85" i="3"/>
  <c r="I98" i="3"/>
  <c r="L40" i="4"/>
  <c r="K40" i="4"/>
  <c r="K85" i="4"/>
  <c r="M10" i="4"/>
  <c r="O21" i="4"/>
  <c r="P21" i="4" s="1"/>
  <c r="M49" i="4"/>
  <c r="N83" i="4"/>
  <c r="S83" i="4" s="1"/>
  <c r="G93" i="4"/>
  <c r="M95" i="4"/>
  <c r="O95" i="4"/>
  <c r="P95" i="4" s="1"/>
  <c r="N95" i="4"/>
  <c r="S95" i="4" s="1"/>
  <c r="I81" i="3"/>
  <c r="M43" i="4"/>
  <c r="O43" i="4"/>
  <c r="P43" i="4" s="1"/>
  <c r="N43" i="4"/>
  <c r="S43" i="4" s="1"/>
  <c r="I11" i="3"/>
  <c r="L81" i="4"/>
  <c r="K81" i="4"/>
  <c r="I41" i="3"/>
  <c r="I42" i="3"/>
  <c r="I14" i="3"/>
  <c r="O28" i="4"/>
  <c r="P28" i="4" s="1"/>
  <c r="G56" i="4"/>
  <c r="I56" i="3"/>
  <c r="M44" i="4"/>
  <c r="I58" i="3"/>
  <c r="I30" i="3"/>
  <c r="I44" i="3"/>
  <c r="N73" i="4"/>
  <c r="S73" i="4" s="1"/>
  <c r="I86" i="3"/>
  <c r="N10" i="4"/>
  <c r="O49" i="4"/>
  <c r="P49" i="4" s="1"/>
  <c r="G66" i="4"/>
  <c r="O73" i="4"/>
  <c r="P73" i="4" s="1"/>
  <c r="O83" i="4"/>
  <c r="P83" i="4" s="1"/>
  <c r="N103" i="4"/>
  <c r="S103" i="4" s="1"/>
  <c r="L17" i="4"/>
  <c r="K17" i="4"/>
  <c r="I38" i="3"/>
  <c r="N25" i="4"/>
  <c r="S25" i="4" s="1"/>
  <c r="O25" i="4"/>
  <c r="P25" i="4" s="1"/>
  <c r="M25" i="4"/>
  <c r="I25" i="3"/>
  <c r="I67" i="3"/>
  <c r="G67" i="4"/>
  <c r="L77" i="4"/>
  <c r="K77" i="4"/>
  <c r="I13" i="3"/>
  <c r="I96" i="3"/>
  <c r="I55" i="3"/>
  <c r="M100" i="4"/>
  <c r="N100" i="4"/>
  <c r="S100" i="4" s="1"/>
  <c r="O100" i="4"/>
  <c r="P100" i="4" s="1"/>
  <c r="O10" i="4"/>
  <c r="P10" i="4" s="1"/>
  <c r="K11" i="7" s="1"/>
  <c r="K19" i="8" s="1"/>
  <c r="N29" i="4"/>
  <c r="S29" i="4" s="1"/>
  <c r="O29" i="4"/>
  <c r="P29" i="4" s="1"/>
  <c r="G4" i="4"/>
  <c r="I29" i="3"/>
  <c r="I95" i="3"/>
  <c r="I73" i="3"/>
  <c r="I62" i="3"/>
  <c r="I72" i="3"/>
  <c r="I84" i="3"/>
  <c r="I6" i="3"/>
  <c r="I39" i="3"/>
  <c r="I49" i="3"/>
  <c r="I69" i="3"/>
  <c r="I102" i="3"/>
  <c r="I79" i="3"/>
  <c r="I12" i="3"/>
  <c r="O32" i="4"/>
  <c r="P32" i="4" s="1"/>
  <c r="I46" i="3"/>
  <c r="I74" i="3"/>
  <c r="I4" i="3"/>
  <c r="N12" i="4"/>
  <c r="L37" i="4"/>
  <c r="K37" i="4"/>
  <c r="N33" i="4"/>
  <c r="S33" i="4" s="1"/>
  <c r="M33" i="4"/>
  <c r="I48" i="3"/>
  <c r="M18" i="4"/>
  <c r="L80" i="4"/>
  <c r="K80" i="4"/>
  <c r="I23" i="3"/>
  <c r="I65" i="3"/>
  <c r="B4" i="7"/>
  <c r="I83" i="3"/>
  <c r="K32" i="4"/>
  <c r="G45" i="4"/>
  <c r="I45" i="3"/>
  <c r="N74" i="4"/>
  <c r="S74" i="4" s="1"/>
  <c r="O74" i="4"/>
  <c r="P74" i="4" s="1"/>
  <c r="M74" i="4"/>
  <c r="G60" i="4"/>
  <c r="I60" i="3"/>
  <c r="O46" i="4"/>
  <c r="P46" i="4" s="1"/>
  <c r="L33" i="4"/>
  <c r="K33" i="4"/>
  <c r="L42" i="4"/>
  <c r="M48" i="4"/>
  <c r="M76" i="4"/>
  <c r="I90" i="3"/>
  <c r="N9" i="4"/>
  <c r="O9" i="4"/>
  <c r="P9" i="4" s="1"/>
  <c r="K10" i="7" s="1"/>
  <c r="K18" i="8" s="1"/>
  <c r="N18" i="4"/>
  <c r="S18" i="4" s="1"/>
  <c r="L31" i="4"/>
  <c r="O31" i="4"/>
  <c r="P31" i="4" s="1"/>
  <c r="O33" i="4"/>
  <c r="P33" i="4" s="1"/>
  <c r="M46" i="4"/>
  <c r="M57" i="4"/>
  <c r="M78" i="4"/>
  <c r="L84" i="4"/>
  <c r="K84" i="4"/>
  <c r="L88" i="4"/>
  <c r="K88" i="4"/>
  <c r="O90" i="4"/>
  <c r="P90" i="4" s="1"/>
  <c r="N90" i="4"/>
  <c r="S90" i="4" s="1"/>
  <c r="M102" i="4"/>
  <c r="I31" i="3"/>
  <c r="I87" i="3"/>
  <c r="G87" i="4"/>
  <c r="L16" i="4"/>
  <c r="K16" i="4"/>
  <c r="I100" i="3"/>
  <c r="I88" i="3"/>
  <c r="N55" i="4"/>
  <c r="S55" i="4" s="1"/>
  <c r="I19" i="3"/>
  <c r="L20" i="4"/>
  <c r="K20" i="4"/>
  <c r="O55" i="4"/>
  <c r="P55" i="4" s="1"/>
  <c r="N20" i="4"/>
  <c r="S20" i="4" s="1"/>
  <c r="M20" i="4"/>
  <c r="I33" i="3"/>
  <c r="I89" i="3"/>
  <c r="M35" i="4"/>
  <c r="O8" i="4"/>
  <c r="P8" i="4" s="1"/>
  <c r="K9" i="7" s="1"/>
  <c r="K17" i="8" s="1"/>
  <c r="N8" i="4"/>
  <c r="M64" i="4"/>
  <c r="H105" i="3"/>
  <c r="O18" i="4"/>
  <c r="P18" i="4" s="1"/>
  <c r="O20" i="4"/>
  <c r="P20" i="4" s="1"/>
  <c r="M22" i="4"/>
  <c r="O22" i="4"/>
  <c r="P22" i="4" s="1"/>
  <c r="N22" i="4"/>
  <c r="S22" i="4" s="1"/>
  <c r="N46" i="4"/>
  <c r="S46" i="4" s="1"/>
  <c r="N48" i="4"/>
  <c r="S48" i="4" s="1"/>
  <c r="N61" i="4"/>
  <c r="S61" i="4" s="1"/>
  <c r="M61" i="4"/>
  <c r="O61" i="4"/>
  <c r="P61" i="4" s="1"/>
  <c r="N76" i="4"/>
  <c r="S76" i="4" s="1"/>
  <c r="N78" i="4"/>
  <c r="S78" i="4" s="1"/>
  <c r="N82" i="4"/>
  <c r="S82" i="4" s="1"/>
  <c r="I22" i="3"/>
  <c r="I37" i="3"/>
  <c r="N54" i="4"/>
  <c r="S54" i="4" s="1"/>
  <c r="M54" i="4"/>
  <c r="O54" i="4"/>
  <c r="P54" i="4" s="1"/>
  <c r="N53" i="4"/>
  <c r="S53" i="4" s="1"/>
  <c r="O53" i="4"/>
  <c r="P53" i="4" s="1"/>
  <c r="M53" i="4"/>
  <c r="L11" i="4"/>
  <c r="O11" i="4"/>
  <c r="P11" i="4" s="1"/>
  <c r="K12" i="7" s="1"/>
  <c r="K20" i="8" s="1"/>
  <c r="N17" i="4"/>
  <c r="S17" i="4" s="1"/>
  <c r="M17" i="4"/>
  <c r="I10" i="3"/>
  <c r="I94" i="3"/>
  <c r="I82" i="3"/>
  <c r="O6" i="4"/>
  <c r="P6" i="4" s="1"/>
  <c r="K7" i="7" s="1"/>
  <c r="K15" i="8" s="1"/>
  <c r="N6" i="4"/>
  <c r="M6" i="4"/>
  <c r="I97" i="3"/>
  <c r="G97" i="4"/>
  <c r="I59" i="3"/>
  <c r="I18" i="3"/>
  <c r="M88" i="4"/>
  <c r="M12" i="4"/>
  <c r="N57" i="4"/>
  <c r="S57" i="4" s="1"/>
  <c r="I32" i="3"/>
  <c r="I5" i="3"/>
  <c r="M29" i="4"/>
  <c r="G37" i="4"/>
  <c r="O44" i="4"/>
  <c r="P44" i="4" s="1"/>
  <c r="I20" i="3"/>
  <c r="G34" i="4"/>
  <c r="I34" i="3"/>
  <c r="I63" i="3"/>
  <c r="I76" i="3"/>
  <c r="I103" i="3"/>
  <c r="I21" i="3"/>
  <c r="I35" i="3"/>
  <c r="I50" i="3"/>
  <c r="I77" i="3"/>
  <c r="G77" i="4"/>
  <c r="I8" i="3"/>
  <c r="I64" i="3"/>
  <c r="L13" i="4"/>
  <c r="K13" i="4"/>
  <c r="N35" i="4"/>
  <c r="S35" i="4" s="1"/>
  <c r="O48" i="4"/>
  <c r="P48" i="4" s="1"/>
  <c r="O50" i="4"/>
  <c r="P50" i="4" s="1"/>
  <c r="N50" i="4"/>
  <c r="S50" i="4" s="1"/>
  <c r="M50" i="4"/>
  <c r="O76" i="4"/>
  <c r="P76" i="4" s="1"/>
  <c r="O82" i="4"/>
  <c r="P82" i="4" s="1"/>
  <c r="N86" i="4"/>
  <c r="S86" i="4" s="1"/>
  <c r="L100" i="4"/>
  <c r="K100" i="4"/>
  <c r="L72" i="4"/>
  <c r="K72" i="4"/>
  <c r="L92" i="4"/>
  <c r="K92" i="4"/>
  <c r="I24" i="3"/>
  <c r="I91" i="3"/>
  <c r="L28" i="4"/>
  <c r="N40" i="4"/>
  <c r="S40" i="4" s="1"/>
  <c r="M68" i="4"/>
  <c r="I101" i="3"/>
  <c r="I57" i="3"/>
  <c r="I68" i="3"/>
  <c r="M80" i="4"/>
  <c r="L8" i="4"/>
  <c r="L56" i="4"/>
  <c r="L64" i="4"/>
  <c r="K64" i="4"/>
  <c r="N69" i="4"/>
  <c r="S69" i="4" s="1"/>
  <c r="P36" i="4"/>
  <c r="I47" i="3"/>
  <c r="I80" i="3"/>
  <c r="M92" i="4"/>
  <c r="G5" i="4"/>
  <c r="K48" i="4"/>
  <c r="N51" i="4"/>
  <c r="S51" i="4" s="1"/>
  <c r="G94" i="4"/>
  <c r="I27" i="3"/>
  <c r="M72" i="4"/>
  <c r="I61" i="3"/>
  <c r="N101" i="4"/>
  <c r="S101" i="4" s="1"/>
  <c r="M101" i="4"/>
  <c r="I17" i="3"/>
  <c r="I28" i="3"/>
  <c r="M84" i="4"/>
  <c r="G47" i="4"/>
  <c r="L76" i="4"/>
  <c r="K76" i="4"/>
  <c r="O84" i="4"/>
  <c r="P84" i="4" s="1"/>
  <c r="L96" i="4"/>
  <c r="K96" i="4"/>
  <c r="N99" i="4"/>
  <c r="S99" i="4" s="1"/>
  <c r="B14" i="8"/>
  <c r="B19" i="7"/>
  <c r="I16" i="3"/>
  <c r="N81" i="4"/>
  <c r="S81" i="4" s="1"/>
  <c r="M81" i="4"/>
  <c r="L4" i="4"/>
  <c r="M16" i="4"/>
  <c r="N19" i="4"/>
  <c r="S19" i="4" s="1"/>
  <c r="L24" i="4"/>
  <c r="N39" i="4"/>
  <c r="S39" i="4" s="1"/>
  <c r="O99" i="4"/>
  <c r="P99" i="4" s="1"/>
  <c r="K101" i="4"/>
  <c r="M40" i="4"/>
  <c r="I51" i="3"/>
  <c r="I7" i="3"/>
  <c r="I40" i="3"/>
  <c r="M52" i="4"/>
  <c r="M96" i="4"/>
  <c r="G7" i="4"/>
  <c r="M13" i="4"/>
  <c r="N16" i="4"/>
  <c r="S16" i="4" s="1"/>
  <c r="O19" i="4"/>
  <c r="P19" i="4" s="1"/>
  <c r="G27" i="4"/>
  <c r="N36" i="4"/>
  <c r="S36" i="4" s="1"/>
  <c r="O39" i="4"/>
  <c r="P39" i="4" s="1"/>
  <c r="L52" i="4"/>
  <c r="L68" i="4"/>
  <c r="K68" i="4"/>
  <c r="M15" i="4" l="1"/>
  <c r="O15" i="4"/>
  <c r="P15" i="4" s="1"/>
  <c r="O66" i="4"/>
  <c r="P66" i="4" s="1"/>
  <c r="N66" i="4"/>
  <c r="S66" i="4" s="1"/>
  <c r="M66" i="4"/>
  <c r="M7" i="4"/>
  <c r="O7" i="4"/>
  <c r="P7" i="4" s="1"/>
  <c r="K8" i="7" s="1"/>
  <c r="K16" i="8" s="1"/>
  <c r="N7" i="4"/>
  <c r="N93" i="4"/>
  <c r="S93" i="4" s="1"/>
  <c r="M93" i="4"/>
  <c r="O93" i="4"/>
  <c r="P93" i="4" s="1"/>
  <c r="M47" i="4"/>
  <c r="N47" i="4"/>
  <c r="S47" i="4" s="1"/>
  <c r="O47" i="4"/>
  <c r="P47" i="4" s="1"/>
  <c r="M94" i="4"/>
  <c r="O94" i="4"/>
  <c r="P94" i="4" s="1"/>
  <c r="N94" i="4"/>
  <c r="S94" i="4" s="1"/>
  <c r="M23" i="4"/>
  <c r="O23" i="4"/>
  <c r="P23" i="4" s="1"/>
  <c r="N23" i="4"/>
  <c r="S23" i="4" s="1"/>
  <c r="N97" i="4"/>
  <c r="S97" i="4" s="1"/>
  <c r="M97" i="4"/>
  <c r="O97" i="4"/>
  <c r="P97" i="4" s="1"/>
  <c r="N5" i="4"/>
  <c r="O5" i="4"/>
  <c r="P5" i="4" s="1"/>
  <c r="K6" i="7" s="1"/>
  <c r="K14" i="8" s="1"/>
  <c r="M5" i="4"/>
  <c r="M56" i="4"/>
  <c r="O56" i="4"/>
  <c r="P56" i="4" s="1"/>
  <c r="N56" i="4"/>
  <c r="S56" i="4" s="1"/>
  <c r="M27" i="4"/>
  <c r="O27" i="4"/>
  <c r="P27" i="4" s="1"/>
  <c r="N27" i="4"/>
  <c r="S27" i="4" s="1"/>
  <c r="M87" i="4"/>
  <c r="O87" i="4"/>
  <c r="P87" i="4" s="1"/>
  <c r="N87" i="4"/>
  <c r="S87" i="4" s="1"/>
  <c r="N45" i="4"/>
  <c r="S45" i="4" s="1"/>
  <c r="M45" i="4"/>
  <c r="O45" i="4"/>
  <c r="P45" i="4" s="1"/>
  <c r="D4" i="8"/>
  <c r="B17" i="7"/>
  <c r="B9" i="7"/>
  <c r="B12" i="8"/>
  <c r="N37" i="4"/>
  <c r="S37" i="4" s="1"/>
  <c r="M37" i="4"/>
  <c r="O37" i="4"/>
  <c r="P37" i="4" s="1"/>
  <c r="M67" i="4"/>
  <c r="N67" i="4"/>
  <c r="S67" i="4" s="1"/>
  <c r="O67" i="4"/>
  <c r="P67" i="4" s="1"/>
  <c r="N77" i="4"/>
  <c r="S77" i="4" s="1"/>
  <c r="M77" i="4"/>
  <c r="O77" i="4"/>
  <c r="P77" i="4" s="1"/>
  <c r="M60" i="4"/>
  <c r="O60" i="4"/>
  <c r="P60" i="4" s="1"/>
  <c r="N60" i="4"/>
  <c r="S60" i="4" s="1"/>
  <c r="M4" i="4"/>
  <c r="N4" i="4"/>
  <c r="S8" i="4" s="1"/>
  <c r="O4" i="4"/>
  <c r="N34" i="4"/>
  <c r="S34" i="4" s="1"/>
  <c r="O34" i="4"/>
  <c r="P34" i="4" s="1"/>
  <c r="M34" i="4"/>
  <c r="S10" i="4" l="1"/>
  <c r="S12" i="4"/>
  <c r="S6" i="4"/>
  <c r="S7" i="4"/>
  <c r="B6" i="7"/>
  <c r="O105" i="4"/>
  <c r="P4" i="4"/>
  <c r="B15" i="8"/>
  <c r="S4" i="4"/>
  <c r="N105" i="4"/>
  <c r="B5" i="7"/>
  <c r="S13" i="4"/>
  <c r="S11" i="4"/>
  <c r="S5" i="4"/>
  <c r="S9" i="4"/>
  <c r="P105" i="4" l="1"/>
  <c r="K5" i="7"/>
  <c r="K13" i="8" s="1"/>
  <c r="F4" i="8"/>
  <c r="B16" i="8"/>
  <c r="D4" i="6"/>
  <c r="E4" i="6" s="1"/>
  <c r="H4" i="8"/>
  <c r="B17" i="8"/>
  <c r="B13" i="7"/>
  <c r="F13" i="7"/>
  <c r="G21" i="8" s="1"/>
  <c r="E7" i="7"/>
  <c r="H7" i="7" s="1"/>
  <c r="I15" i="8" s="1"/>
  <c r="E13" i="7"/>
  <c r="H13" i="7" s="1"/>
  <c r="I21" i="8" s="1"/>
  <c r="F10" i="7"/>
  <c r="G18" i="8" s="1"/>
  <c r="E10" i="7"/>
  <c r="H10" i="7" s="1"/>
  <c r="I18" i="8" s="1"/>
  <c r="F7" i="7"/>
  <c r="G15" i="8" s="1"/>
  <c r="F12" i="7"/>
  <c r="G20" i="8" s="1"/>
  <c r="E12" i="7"/>
  <c r="H12" i="7" s="1"/>
  <c r="I20" i="8" s="1"/>
  <c r="F9" i="7"/>
  <c r="G17" i="8" s="1"/>
  <c r="E9" i="7"/>
  <c r="H9" i="7" s="1"/>
  <c r="I17" i="8" s="1"/>
  <c r="F6" i="7"/>
  <c r="G14" i="8" s="1"/>
  <c r="E6" i="7"/>
  <c r="H6" i="7" s="1"/>
  <c r="I14" i="8" s="1"/>
  <c r="F14" i="7"/>
  <c r="G22" i="8" s="1"/>
  <c r="E14" i="7"/>
  <c r="H14" i="7" s="1"/>
  <c r="I22" i="8" s="1"/>
  <c r="F8" i="7"/>
  <c r="G16" i="8" s="1"/>
  <c r="E8" i="7"/>
  <c r="H8" i="7" s="1"/>
  <c r="I16" i="8" s="1"/>
  <c r="F11" i="7"/>
  <c r="G19" i="8" s="1"/>
  <c r="E11" i="7"/>
  <c r="H11" i="7" s="1"/>
  <c r="I19" i="8" s="1"/>
  <c r="E5" i="7"/>
  <c r="H5" i="7" s="1"/>
  <c r="I13" i="8" s="1"/>
  <c r="F5" i="7"/>
  <c r="G13" i="8" s="1"/>
  <c r="B12" i="7"/>
  <c r="G10" i="7" l="1"/>
  <c r="H18" i="8" s="1"/>
  <c r="F18" i="8"/>
  <c r="J10" i="7"/>
  <c r="J18" i="8" s="1"/>
  <c r="I10" i="7"/>
  <c r="F19" i="8"/>
  <c r="J11" i="7"/>
  <c r="J19" i="8" s="1"/>
  <c r="G11" i="7"/>
  <c r="H19" i="8" s="1"/>
  <c r="I11" i="7"/>
  <c r="F16" i="8"/>
  <c r="I8" i="7"/>
  <c r="G8" i="7"/>
  <c r="H16" i="8" s="1"/>
  <c r="J8" i="7"/>
  <c r="J16" i="8" s="1"/>
  <c r="F20" i="8"/>
  <c r="I12" i="7"/>
  <c r="G12" i="7"/>
  <c r="H20" i="8" s="1"/>
  <c r="J12" i="7"/>
  <c r="J20" i="8" s="1"/>
  <c r="I7" i="7"/>
  <c r="G7" i="7"/>
  <c r="H15" i="8" s="1"/>
  <c r="F15" i="8"/>
  <c r="J7" i="7"/>
  <c r="J15" i="8" s="1"/>
  <c r="B20" i="8"/>
  <c r="F7" i="8"/>
  <c r="B24" i="8"/>
  <c r="B25" i="8" s="1"/>
  <c r="F17" i="7"/>
  <c r="F18" i="7" s="1"/>
  <c r="B21" i="8"/>
  <c r="H4" i="6"/>
  <c r="B10" i="7" s="1"/>
  <c r="F22" i="8"/>
  <c r="G14" i="7"/>
  <c r="H22" i="8" s="1"/>
  <c r="J14" i="7"/>
  <c r="J22" i="8" s="1"/>
  <c r="I14" i="7"/>
  <c r="J13" i="7"/>
  <c r="J21" i="8" s="1"/>
  <c r="F21" i="8"/>
  <c r="I13" i="7"/>
  <c r="G13" i="7"/>
  <c r="H21" i="8" s="1"/>
  <c r="F13" i="8"/>
  <c r="G5" i="7"/>
  <c r="H13" i="8" s="1"/>
  <c r="J5" i="7"/>
  <c r="J13" i="8" s="1"/>
  <c r="I5" i="7"/>
  <c r="F17" i="8"/>
  <c r="J9" i="7"/>
  <c r="J17" i="8" s="1"/>
  <c r="I9" i="7"/>
  <c r="G9" i="7"/>
  <c r="H17" i="8" s="1"/>
  <c r="F14" i="8"/>
  <c r="J6" i="7"/>
  <c r="J14" i="8" s="1"/>
  <c r="I6" i="7"/>
  <c r="G6" i="7"/>
  <c r="H14" i="8" s="1"/>
  <c r="I4" i="6" l="1"/>
  <c r="B18" i="8"/>
  <c r="B11" i="7"/>
  <c r="B19" i="8" l="1"/>
  <c r="H7" i="8"/>
</calcChain>
</file>

<file path=xl/sharedStrings.xml><?xml version="1.0" encoding="utf-8"?>
<sst xmlns="http://schemas.openxmlformats.org/spreadsheetml/2006/main" count="293" uniqueCount="183">
  <si>
    <t>Plantilla de Valorización de Avance de Obra</t>
  </si>
  <si>
    <t>README</t>
  </si>
  <si>
    <t>Objetivo</t>
  </si>
  <si>
    <t>Flujo de uso</t>
  </si>
  <si>
    <t>Convención</t>
  </si>
  <si>
    <t>Entradas editables en amarillo. Fórmulas en negro. Celdas enlazadas entre hojas en verde.</t>
  </si>
  <si>
    <t>Estados valorización</t>
  </si>
  <si>
    <t>Borrador</t>
  </si>
  <si>
    <t>Revisado</t>
  </si>
  <si>
    <t>Aprobado</t>
  </si>
  <si>
    <t>Observado</t>
  </si>
  <si>
    <t>Pagado</t>
  </si>
  <si>
    <t>Unidades</t>
  </si>
  <si>
    <t>und</t>
  </si>
  <si>
    <t>m²</t>
  </si>
  <si>
    <t>m³</t>
  </si>
  <si>
    <t>ml</t>
  </si>
  <si>
    <t>gl</t>
  </si>
  <si>
    <t>kg</t>
  </si>
  <si>
    <t>lote</t>
  </si>
  <si>
    <t>Tipos ítem</t>
  </si>
  <si>
    <t>Partida</t>
  </si>
  <si>
    <t>Subpartida</t>
  </si>
  <si>
    <t>Hito</t>
  </si>
  <si>
    <t>Adicional</t>
  </si>
  <si>
    <t>Deductivo</t>
  </si>
  <si>
    <t>Periodicidad</t>
  </si>
  <si>
    <t>Semana</t>
  </si>
  <si>
    <t>Quincena</t>
  </si>
  <si>
    <t>Mes</t>
  </si>
  <si>
    <t>Responsables</t>
  </si>
  <si>
    <t>Cliente</t>
  </si>
  <si>
    <t>Contratista</t>
  </si>
  <si>
    <t>Supervisor</t>
  </si>
  <si>
    <t>Proyectista</t>
  </si>
  <si>
    <t>Administración</t>
  </si>
  <si>
    <t>Monedas</t>
  </si>
  <si>
    <t>S/.</t>
  </si>
  <si>
    <t>USD</t>
  </si>
  <si>
    <t>Estados adicional</t>
  </si>
  <si>
    <t>DATOS GENERALES</t>
  </si>
  <si>
    <t>Cliente ejemplo SAC</t>
  </si>
  <si>
    <t>Proyecto</t>
  </si>
  <si>
    <t>Remodelación Oficinas Piso 3</t>
  </si>
  <si>
    <t>Código</t>
  </si>
  <si>
    <t>VAL-001</t>
  </si>
  <si>
    <t>Ubicación</t>
  </si>
  <si>
    <t>Lima, Perú</t>
  </si>
  <si>
    <t>Contratista / Proveedor</t>
  </si>
  <si>
    <t>Contratista Ejemplo SRL</t>
  </si>
  <si>
    <t>Supervisor / Responsable</t>
  </si>
  <si>
    <t>Arq. Responsable</t>
  </si>
  <si>
    <t>Moneda</t>
  </si>
  <si>
    <t>Monto contratado</t>
  </si>
  <si>
    <t>Periodicidad de valorización</t>
  </si>
  <si>
    <t>N.° de valorización</t>
  </si>
  <si>
    <t>Periodo valorizado</t>
  </si>
  <si>
    <t>Mes 1</t>
  </si>
  <si>
    <t>Fecha de corte</t>
  </si>
  <si>
    <t>2026-03-16</t>
  </si>
  <si>
    <t>Fecha de emisión</t>
  </si>
  <si>
    <t>2026-03-20</t>
  </si>
  <si>
    <t>Fecha de inicio contractual</t>
  </si>
  <si>
    <t>2026-03-21</t>
  </si>
  <si>
    <t>Plazo contractual (días)</t>
  </si>
  <si>
    <t>Estado de valorización</t>
  </si>
  <si>
    <t>Observaciones generales</t>
  </si>
  <si>
    <t>Plantilla base editable.</t>
  </si>
  <si>
    <t>PRESUPUESTO BASE</t>
  </si>
  <si>
    <t>Ítem</t>
  </si>
  <si>
    <t>Tipo de ítem</t>
  </si>
  <si>
    <t>Unidad</t>
  </si>
  <si>
    <t>Metrado contratado</t>
  </si>
  <si>
    <t>Precio unitario</t>
  </si>
  <si>
    <t>Subtotal contratado</t>
  </si>
  <si>
    <t>Peso %</t>
  </si>
  <si>
    <t>Responsable</t>
  </si>
  <si>
    <t>Observaciones</t>
  </si>
  <si>
    <t>1</t>
  </si>
  <si>
    <t>ARQ-01</t>
  </si>
  <si>
    <t>Demoliciones menores</t>
  </si>
  <si>
    <t>2</t>
  </si>
  <si>
    <t>ARQ-02</t>
  </si>
  <si>
    <t>Tabiquería drywall</t>
  </si>
  <si>
    <t>3</t>
  </si>
  <si>
    <t>ARQ-03</t>
  </si>
  <si>
    <t>Cielorraso</t>
  </si>
  <si>
    <t>4</t>
  </si>
  <si>
    <t>ARQ-04</t>
  </si>
  <si>
    <t>Piso porcelanato</t>
  </si>
  <si>
    <t>5</t>
  </si>
  <si>
    <t>ARQ-05</t>
  </si>
  <si>
    <t>Pintura general</t>
  </si>
  <si>
    <t>6</t>
  </si>
  <si>
    <t>ELE-01</t>
  </si>
  <si>
    <t>Red eléctrica</t>
  </si>
  <si>
    <t>7</t>
  </si>
  <si>
    <t>SAN-01</t>
  </si>
  <si>
    <t>Adecuación sanitaria</t>
  </si>
  <si>
    <t>8</t>
  </si>
  <si>
    <t>MOB-01</t>
  </si>
  <si>
    <t>Carpintería fija</t>
  </si>
  <si>
    <t>9</t>
  </si>
  <si>
    <t>VID-01</t>
  </si>
  <si>
    <t>Mamparas y vidrio</t>
  </si>
  <si>
    <t>10</t>
  </si>
  <si>
    <t>FIN-01</t>
  </si>
  <si>
    <t>Limpieza y cierre</t>
  </si>
  <si>
    <t>Total</t>
  </si>
  <si>
    <t>VALORIZACIÓN DEL PERÍODO</t>
  </si>
  <si>
    <t>Avance anterior %</t>
  </si>
  <si>
    <t>Avance del período %</t>
  </si>
  <si>
    <t>Avance acumulado %</t>
  </si>
  <si>
    <t>Metrado ejecutado del período</t>
  </si>
  <si>
    <t>Metrado ejecutado acumulado</t>
  </si>
  <si>
    <t>Monto valorizado anterior</t>
  </si>
  <si>
    <t>Monto valorizado del período</t>
  </si>
  <si>
    <t>Monto valorizado acumulado</t>
  </si>
  <si>
    <t>Saldo por ejecutar</t>
  </si>
  <si>
    <t>Estado</t>
  </si>
  <si>
    <t>Movimiento idx</t>
  </si>
  <si>
    <t>ADICIONALES / DEDUCTIVOS</t>
  </si>
  <si>
    <t>Tipo</t>
  </si>
  <si>
    <t>Descripción</t>
  </si>
  <si>
    <t>Sustento / referencia</t>
  </si>
  <si>
    <t>Cantidad</t>
  </si>
  <si>
    <t>Monto</t>
  </si>
  <si>
    <t>Fecha</t>
  </si>
  <si>
    <t>ADC-01</t>
  </si>
  <si>
    <t>Refuerzo de cableado</t>
  </si>
  <si>
    <t>RFI-04</t>
  </si>
  <si>
    <t>2026-03-24</t>
  </si>
  <si>
    <t>DED-01</t>
  </si>
  <si>
    <t>Reducción de tabique</t>
  </si>
  <si>
    <t>OC-02</t>
  </si>
  <si>
    <t>2026-03-26</t>
  </si>
  <si>
    <t>CONTROL DE PAGOS</t>
  </si>
  <si>
    <t>N.° valorización</t>
  </si>
  <si>
    <t>Periodo</t>
  </si>
  <si>
    <t>Monto presentado</t>
  </si>
  <si>
    <t>Monto aprobado</t>
  </si>
  <si>
    <t>Fecha de aprobación</t>
  </si>
  <si>
    <t>Fecha de pago</t>
  </si>
  <si>
    <t>Monto pagado</t>
  </si>
  <si>
    <t>Saldo por pagar</t>
  </si>
  <si>
    <t>2026-03-31</t>
  </si>
  <si>
    <t>2026-04-05</t>
  </si>
  <si>
    <t>2026-04-12</t>
  </si>
  <si>
    <t>RESUMEN DE VALORIZACIÓN</t>
  </si>
  <si>
    <t>KPIs</t>
  </si>
  <si>
    <t>Partidas con movimiento en el período</t>
  </si>
  <si>
    <t>Val. período</t>
  </si>
  <si>
    <t>Val. acumulado</t>
  </si>
  <si>
    <t>Saldo</t>
  </si>
  <si>
    <t>Valorizado del período</t>
  </si>
  <si>
    <t>Valorizado acumulado</t>
  </si>
  <si>
    <t>Adicionales aprobados</t>
  </si>
  <si>
    <t>Deductivos aprobados</t>
  </si>
  <si>
    <t>Contrato actualizado</t>
  </si>
  <si>
    <t>Pagado acumulado</t>
  </si>
  <si>
    <t>% avance económico acumulado</t>
  </si>
  <si>
    <t>Composición del contrato</t>
  </si>
  <si>
    <t>Progreso</t>
  </si>
  <si>
    <t>Contrato base</t>
  </si>
  <si>
    <t>Avance económico</t>
  </si>
  <si>
    <t>Adicionales</t>
  </si>
  <si>
    <t>Pendiente</t>
  </si>
  <si>
    <t>Deductivos</t>
  </si>
  <si>
    <t>VALORIZACIÓN DE AVANCE DE OBRA</t>
  </si>
  <si>
    <t>Valorizado período</t>
  </si>
  <si>
    <t>Adicionales netos</t>
  </si>
  <si>
    <t>Resumen económico</t>
  </si>
  <si>
    <t>Partidas valorizadas del período</t>
  </si>
  <si>
    <t>Avance período %</t>
  </si>
  <si>
    <t>% avance económico</t>
  </si>
  <si>
    <t>Progreso económico</t>
  </si>
  <si>
    <t>Avance acumulado</t>
  </si>
  <si>
    <t>Elaborado por</t>
  </si>
  <si>
    <t>________________________</t>
  </si>
  <si>
    <t>Revisado por</t>
  </si>
  <si>
    <t>Aprobado por</t>
  </si>
  <si>
    <r>
      <t>Registrar el</t>
    </r>
    <r>
      <rPr>
        <b/>
        <sz val="11"/>
        <color theme="1"/>
        <rFont val="Calibri"/>
        <family val="2"/>
        <scheme val="minor"/>
      </rPr>
      <t xml:space="preserve"> presupuesto base</t>
    </r>
    <r>
      <rPr>
        <sz val="11"/>
        <color theme="1"/>
        <rFont val="Calibri"/>
        <family val="2"/>
        <scheme val="minor"/>
      </rPr>
      <t xml:space="preserve">, </t>
    </r>
    <r>
      <rPr>
        <b/>
        <sz val="11"/>
        <color theme="1"/>
        <rFont val="Calibri"/>
        <family val="2"/>
        <scheme val="minor"/>
      </rPr>
      <t>valorizar el avance</t>
    </r>
    <r>
      <rPr>
        <sz val="11"/>
        <color theme="1"/>
        <rFont val="Calibri"/>
        <family val="2"/>
        <scheme val="minor"/>
      </rPr>
      <t xml:space="preserve"> de un período, controlar adicionales y pagos, y emitir una hoja de presentación.</t>
    </r>
  </si>
  <si>
    <r>
      <t xml:space="preserve">1) Llene </t>
    </r>
    <r>
      <rPr>
        <b/>
        <sz val="11"/>
        <color theme="1"/>
        <rFont val="Calibri"/>
        <family val="2"/>
        <scheme val="minor"/>
      </rPr>
      <t>DATOS GENERALES</t>
    </r>
    <r>
      <rPr>
        <sz val="11"/>
        <color theme="1"/>
        <rFont val="Calibri"/>
        <family val="2"/>
        <scheme val="minor"/>
      </rPr>
      <t xml:space="preserve">. 2) Cargue </t>
    </r>
    <r>
      <rPr>
        <b/>
        <sz val="11"/>
        <color theme="1"/>
        <rFont val="Calibri"/>
        <family val="2"/>
        <scheme val="minor"/>
      </rPr>
      <t>PRESUPUESTO BASE</t>
    </r>
    <r>
      <rPr>
        <sz val="11"/>
        <color theme="1"/>
        <rFont val="Calibri"/>
        <family val="2"/>
        <scheme val="minor"/>
      </rPr>
      <t xml:space="preserve">. 3) Registre avances en </t>
    </r>
    <r>
      <rPr>
        <b/>
        <sz val="11"/>
        <color theme="1"/>
        <rFont val="Calibri"/>
        <family val="2"/>
        <scheme val="minor"/>
      </rPr>
      <t>VALORIZACIÓN</t>
    </r>
    <r>
      <rPr>
        <sz val="11"/>
        <color theme="1"/>
        <rFont val="Calibri"/>
        <family val="2"/>
        <scheme val="minor"/>
      </rPr>
      <t xml:space="preserve">. 4) Registre </t>
    </r>
    <r>
      <rPr>
        <b/>
        <sz val="11"/>
        <color theme="1"/>
        <rFont val="Calibri"/>
        <family val="2"/>
        <scheme val="minor"/>
      </rPr>
      <t>ADICIONALES / DEDUCTIVOS</t>
    </r>
    <r>
      <rPr>
        <sz val="11"/>
        <color theme="1"/>
        <rFont val="Calibri"/>
        <family val="2"/>
        <scheme val="minor"/>
      </rPr>
      <t xml:space="preserve">. 5) Actualice </t>
    </r>
    <r>
      <rPr>
        <b/>
        <sz val="11"/>
        <color theme="1"/>
        <rFont val="Calibri"/>
        <family val="2"/>
        <scheme val="minor"/>
      </rPr>
      <t>CONTROL DE PAGOS</t>
    </r>
    <r>
      <rPr>
        <sz val="11"/>
        <color theme="1"/>
        <rFont val="Calibri"/>
        <family val="2"/>
        <scheme val="minor"/>
      </rPr>
      <t xml:space="preserve">. 6) Revise </t>
    </r>
    <r>
      <rPr>
        <b/>
        <sz val="11"/>
        <color theme="1"/>
        <rFont val="Calibri"/>
        <family val="2"/>
        <scheme val="minor"/>
      </rPr>
      <t>RESUMEN y PRESENTACIÓN</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</si>
</sst>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S/.&quot;\ #,##0.00;[Red]\(&quot;S/.&quot;\ #,##0.00\);\-"/>
    <numFmt numFmtId="165" formatCode="dd/mm/yyyy"/>
    <numFmt numFmtId="166" formatCode="0.0%"/>
    <numFmt numFmtId="167" formatCode="_-[$S/-280A]\ * #,##0.00_-;\-[$S/-280A]\ * #,##0.00_-;_-[$S/-280A]\ * &quot;-&quot;??_-;_-@_-"/>
  </numFmts>
  <fonts count="12" x14ac:knownFonts="1">
    <font>
      <sz val="11"/>
      <color theme="1"/>
      <name val="Calibri"/>
      <family val="2"/>
      <scheme val="minor"/>
    </font>
    <font>
      <b/>
      <sz val="14"/>
      <color rgb="FF1F4E78"/>
      <name val="Calibri"/>
    </font>
    <font>
      <b/>
      <sz val="11"/>
      <color rgb="FFFFFFFF"/>
      <name val="Calibri"/>
    </font>
    <font>
      <b/>
      <sz val="11"/>
      <name val="Calibri"/>
    </font>
    <font>
      <sz val="11"/>
      <color rgb="FF0000FF"/>
      <name val="Calibri"/>
    </font>
    <font>
      <sz val="11"/>
      <color rgb="FF000000"/>
      <name val="Calibri"/>
    </font>
    <font>
      <sz val="11"/>
      <color rgb="FF008000"/>
      <name val="Calibri"/>
    </font>
    <font>
      <b/>
      <sz val="16"/>
      <color rgb="FF1F4E78"/>
      <name val="Calibri"/>
    </font>
    <font>
      <b/>
      <sz val="12"/>
      <name val="Calibri"/>
    </font>
    <font>
      <u/>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
      <patternFill patternType="solid">
        <fgColor rgb="FFDDEBF7"/>
      </patternFill>
    </fill>
    <fill>
      <patternFill patternType="solid">
        <fgColor theme="1"/>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diagonal/>
    </border>
  </borders>
  <cellStyleXfs count="2">
    <xf numFmtId="0" fontId="0" fillId="0" borderId="0"/>
    <xf numFmtId="9" fontId="10" fillId="0" borderId="0" applyFont="0" applyFill="0" applyBorder="0" applyAlignment="0" applyProtection="0"/>
  </cellStyleXfs>
  <cellXfs count="42">
    <xf numFmtId="0" fontId="0" fillId="0" borderId="0" xfId="0"/>
    <xf numFmtId="0" fontId="1" fillId="0" borderId="0" xfId="0" applyFont="1"/>
    <xf numFmtId="0" fontId="2" fillId="2" borderId="1" xfId="0" applyFont="1" applyFill="1" applyBorder="1"/>
    <xf numFmtId="0" fontId="3" fillId="3" borderId="1" xfId="0" applyFont="1" applyFill="1" applyBorder="1"/>
    <xf numFmtId="0" fontId="0" fillId="0" borderId="1" xfId="0" applyBorder="1" applyAlignment="1">
      <alignment wrapText="1"/>
    </xf>
    <xf numFmtId="0" fontId="0" fillId="0" borderId="1" xfId="0" applyBorder="1"/>
    <xf numFmtId="0" fontId="4" fillId="4" borderId="1" xfId="0" applyFont="1" applyFill="1" applyBorder="1"/>
    <xf numFmtId="164" fontId="4" fillId="4" borderId="1" xfId="0" applyNumberFormat="1" applyFont="1" applyFill="1" applyBorder="1"/>
    <xf numFmtId="165" fontId="4" fillId="4" borderId="1" xfId="0" applyNumberFormat="1" applyFont="1" applyFill="1" applyBorder="1"/>
    <xf numFmtId="0" fontId="2" fillId="2" borderId="1" xfId="0" applyFont="1" applyFill="1" applyBorder="1" applyAlignment="1">
      <alignment horizontal="center" vertical="center" wrapText="1"/>
    </xf>
    <xf numFmtId="4" fontId="4" fillId="4" borderId="1" xfId="0" applyNumberFormat="1" applyFont="1" applyFill="1" applyBorder="1"/>
    <xf numFmtId="164" fontId="5" fillId="0" borderId="1" xfId="0" applyNumberFormat="1" applyFont="1" applyBorder="1"/>
    <xf numFmtId="166" fontId="5" fillId="0" borderId="1" xfId="0" applyNumberFormat="1" applyFont="1" applyBorder="1"/>
    <xf numFmtId="0" fontId="3" fillId="0" borderId="0" xfId="0" applyFont="1"/>
    <xf numFmtId="164" fontId="3" fillId="0" borderId="0" xfId="0" applyNumberFormat="1" applyFont="1"/>
    <xf numFmtId="0" fontId="6" fillId="5" borderId="1" xfId="0" applyFont="1" applyFill="1" applyBorder="1"/>
    <xf numFmtId="4" fontId="6" fillId="5" borderId="1" xfId="0" applyNumberFormat="1" applyFont="1" applyFill="1" applyBorder="1"/>
    <xf numFmtId="164" fontId="6" fillId="5" borderId="1" xfId="0" applyNumberFormat="1" applyFont="1" applyFill="1" applyBorder="1"/>
    <xf numFmtId="166" fontId="4" fillId="4" borderId="1" xfId="0" applyNumberFormat="1" applyFont="1" applyFill="1" applyBorder="1"/>
    <xf numFmtId="4" fontId="5" fillId="0" borderId="1" xfId="0" applyNumberFormat="1" applyFont="1" applyBorder="1"/>
    <xf numFmtId="164" fontId="0" fillId="6" borderId="1" xfId="0" applyNumberFormat="1" applyFill="1" applyBorder="1"/>
    <xf numFmtId="164" fontId="0" fillId="0" borderId="1" xfId="0" applyNumberFormat="1" applyBorder="1"/>
    <xf numFmtId="166" fontId="0" fillId="0" borderId="1" xfId="0" applyNumberFormat="1" applyBorder="1"/>
    <xf numFmtId="166" fontId="0" fillId="6" borderId="1" xfId="0" applyNumberFormat="1" applyFill="1" applyBorder="1"/>
    <xf numFmtId="0" fontId="7" fillId="0" borderId="0" xfId="0" applyFont="1"/>
    <xf numFmtId="0" fontId="2" fillId="2" borderId="4" xfId="0" applyFont="1" applyFill="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left" vertical="center"/>
    </xf>
    <xf numFmtId="0" fontId="6" fillId="5" borderId="1" xfId="0" applyFont="1" applyFill="1" applyBorder="1" applyAlignment="1">
      <alignment horizontal="right"/>
    </xf>
    <xf numFmtId="167" fontId="0" fillId="0" borderId="1" xfId="0" applyNumberFormat="1" applyBorder="1"/>
    <xf numFmtId="0" fontId="9" fillId="0" borderId="0" xfId="0" applyFont="1"/>
    <xf numFmtId="0" fontId="2" fillId="2" borderId="0" xfId="0" applyFont="1" applyFill="1" applyAlignment="1">
      <alignment horizontal="center"/>
    </xf>
    <xf numFmtId="0" fontId="0" fillId="0" borderId="0" xfId="0"/>
    <xf numFmtId="164" fontId="8" fillId="6" borderId="0" xfId="0" applyNumberFormat="1" applyFont="1" applyFill="1" applyAlignment="1">
      <alignment horizontal="center"/>
    </xf>
    <xf numFmtId="0" fontId="3" fillId="3" borderId="1" xfId="0" applyFont="1" applyFill="1" applyBorder="1"/>
    <xf numFmtId="0" fontId="0" fillId="0" borderId="2" xfId="0" applyBorder="1"/>
    <xf numFmtId="0" fontId="0" fillId="0" borderId="3" xfId="0" applyBorder="1"/>
    <xf numFmtId="0" fontId="0" fillId="0" borderId="1" xfId="0" applyBorder="1" applyAlignment="1"/>
    <xf numFmtId="0" fontId="0" fillId="7" borderId="0" xfId="0" applyFill="1"/>
    <xf numFmtId="0" fontId="0" fillId="0" borderId="0" xfId="0" applyBorder="1"/>
    <xf numFmtId="9" fontId="0" fillId="0" borderId="5" xfId="1" applyFont="1" applyBorder="1" applyAlignment="1">
      <alignment horizontal="center" vertical="center"/>
    </xf>
    <xf numFmtId="9" fontId="0" fillId="0" borderId="1" xfId="1" applyFont="1" applyBorder="1" applyAlignment="1">
      <alignment horizontal="center"/>
    </xf>
  </cellXfs>
  <cellStyles count="2">
    <cellStyle name="Normal" xfId="0" builtinId="0"/>
    <cellStyle name="Porcentaje" xfId="1" builtinId="5"/>
  </cellStyles>
  <dxfs count="2">
    <dxf>
      <fill>
        <patternFill patternType="solid">
          <fgColor rgb="FFE2F0D9"/>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s-PE">
                <a:latin typeface="Aileron Black" panose="00000A00000000000000" pitchFamily="50" charset="0"/>
              </a:rPr>
              <a:t>Composición del contrato</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PE"/>
        </a:p>
      </c:txPr>
    </c:title>
    <c:autoTitleDeleted val="0"/>
    <c:plotArea>
      <c:layout>
        <c:manualLayout>
          <c:layoutTarget val="inner"/>
          <c:xMode val="edge"/>
          <c:yMode val="edge"/>
          <c:x val="0.20312314699746101"/>
          <c:y val="0.11254554289767305"/>
          <c:w val="0.63725510305847533"/>
          <c:h val="0.65901935288184166"/>
        </c:manualLayout>
      </c:layout>
      <c:doughnutChart>
        <c:varyColors val="1"/>
        <c:ser>
          <c:idx val="0"/>
          <c:order val="0"/>
          <c:explosion val="8"/>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7A-4749-8D2D-49B89C7A011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07A-4749-8D2D-49B89C7A011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7A-4749-8D2D-49B89C7A0110}"/>
              </c:ext>
            </c:extLst>
          </c:dPt>
          <c:dLbls>
            <c:dLbl>
              <c:idx val="0"/>
              <c:layout>
                <c:manualLayout>
                  <c:x val="-2.0959926930252538E-2"/>
                  <c:y val="-3.096417206712028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extLst>
                <c:ext xmlns:c15="http://schemas.microsoft.com/office/drawing/2012/chart" uri="{CE6537A1-D6FC-4f65-9D91-7224C49458BB}">
                  <c15:layout>
                    <c:manualLayout>
                      <c:w val="0.11881284294177408"/>
                      <c:h val="7.1174073531344403E-2"/>
                    </c:manualLayout>
                  </c15:layout>
                </c:ext>
                <c:ext xmlns:c16="http://schemas.microsoft.com/office/drawing/2014/chart" uri="{C3380CC4-5D6E-409C-BE32-E72D297353CC}">
                  <c16:uniqueId val="{00000001-307A-4749-8D2D-49B89C7A0110}"/>
                </c:ext>
              </c:extLst>
            </c:dLbl>
            <c:dLbl>
              <c:idx val="1"/>
              <c:layout>
                <c:manualLayout>
                  <c:x val="-2.3954202206002837E-2"/>
                  <c:y val="-2.477231294160733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07A-4749-8D2D-49B89C7A0110}"/>
                </c:ext>
              </c:extLst>
            </c:dLbl>
            <c:dLbl>
              <c:idx val="2"/>
              <c:layout>
                <c:manualLayout>
                  <c:x val="1.7965651654502018E-2"/>
                  <c:y val="-1.5482695588504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7A-4749-8D2D-49B89C7A01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RESUMEN!$A$17:$A$19</c:f>
              <c:strCache>
                <c:ptCount val="3"/>
                <c:pt idx="0">
                  <c:v>Contrato base</c:v>
                </c:pt>
                <c:pt idx="1">
                  <c:v>Adicionales</c:v>
                </c:pt>
                <c:pt idx="2">
                  <c:v>Deductivos</c:v>
                </c:pt>
              </c:strCache>
            </c:strRef>
          </c:cat>
          <c:val>
            <c:numRef>
              <c:f>RESUMEN!$B$17:$B$19</c:f>
              <c:numCache>
                <c:formatCode>General</c:formatCode>
                <c:ptCount val="3"/>
                <c:pt idx="0">
                  <c:v>132500</c:v>
                </c:pt>
                <c:pt idx="1">
                  <c:v>3200</c:v>
                </c:pt>
                <c:pt idx="2">
                  <c:v>1140</c:v>
                </c:pt>
              </c:numCache>
            </c:numRef>
          </c:val>
          <c:extLst>
            <c:ext xmlns:c16="http://schemas.microsoft.com/office/drawing/2014/chart" uri="{C3380CC4-5D6E-409C-BE32-E72D297353CC}">
              <c16:uniqueId val="{00000000-307A-4749-8D2D-49B89C7A011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PE">
                <a:latin typeface="Aileron Black" panose="00000A00000000000000" pitchFamily="50" charset="0"/>
              </a:rPr>
              <a:t>Avance económico</a:t>
            </a:r>
          </a:p>
        </c:rich>
      </c:tx>
      <c:overlay val="1"/>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PE"/>
        </a:p>
      </c:txPr>
    </c:title>
    <c:autoTitleDeleted val="0"/>
    <c:plotArea>
      <c:layout>
        <c:manualLayout>
          <c:layoutTarget val="inner"/>
          <c:xMode val="edge"/>
          <c:yMode val="edge"/>
          <c:x val="6.563290871060809E-2"/>
          <c:y val="9.7013888888888886E-2"/>
          <c:w val="0.8642776983830438"/>
          <c:h val="0.53803733676320953"/>
        </c:manualLayout>
      </c:layout>
      <c:barChart>
        <c:barDir val="bar"/>
        <c:grouping val="stacked"/>
        <c:varyColors val="1"/>
        <c:ser>
          <c:idx val="0"/>
          <c:order val="0"/>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7300-4A61-BC09-45CC4786726C}"/>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7300-4A61-BC09-45CC478672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PRESENTACIÓN!$A$24:$A$25</c:f>
              <c:strCache>
                <c:ptCount val="2"/>
                <c:pt idx="0">
                  <c:v>Avance acumulado</c:v>
                </c:pt>
                <c:pt idx="1">
                  <c:v>Pendiente</c:v>
                </c:pt>
              </c:strCache>
            </c:strRef>
          </c:cat>
          <c:val>
            <c:numRef>
              <c:f>PRESENTACIÓN!$B$24:$B$25</c:f>
              <c:numCache>
                <c:formatCode>0.0%</c:formatCode>
                <c:ptCount val="2"/>
                <c:pt idx="0">
                  <c:v>0.26634215219976221</c:v>
                </c:pt>
                <c:pt idx="1">
                  <c:v>0.73365784780023779</c:v>
                </c:pt>
              </c:numCache>
            </c:numRef>
          </c:val>
          <c:extLst>
            <c:ext xmlns:c16="http://schemas.microsoft.com/office/drawing/2014/chart" uri="{C3380CC4-5D6E-409C-BE32-E72D297353CC}">
              <c16:uniqueId val="{00000000-0F70-4014-8C4E-5C585690ABB7}"/>
            </c:ext>
          </c:extLst>
        </c:ser>
        <c:dLbls>
          <c:dLblPos val="ctr"/>
          <c:showLegendKey val="0"/>
          <c:showVal val="1"/>
          <c:showCatName val="0"/>
          <c:showSerName val="0"/>
          <c:showPercent val="0"/>
          <c:showBubbleSize val="0"/>
        </c:dLbls>
        <c:gapWidth val="150"/>
        <c:overlap val="100"/>
        <c:axId val="10"/>
        <c:axId val="100"/>
      </c:barChart>
      <c:catAx>
        <c:axId val="10"/>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E"/>
          </a:p>
        </c:txPr>
        <c:crossAx val="1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data id="1">
      <cx:numDim type="size">
        <cx:f>_xlchart.v1.1</cx:f>
      </cx:numDim>
    </cx:data>
  </cx:chartData>
  <cx:chart>
    <cx:title pos="t" align="ctr" overlay="0">
      <cx:tx>
        <cx:txData>
          <cx:v>Valorizado del período por partida</cx:v>
        </cx:txData>
      </cx:tx>
      <cx:txPr>
        <a:bodyPr rot="0" spcFirstLastPara="1" vertOverflow="ellipsis" vert="horz" wrap="square" lIns="38100" tIns="19050" rIns="38100" bIns="19050" anchor="ctr" anchorCtr="1" compatLnSpc="0"/>
        <a:lstStyle/>
        <a:p>
          <a:pPr algn="ctr" rtl="0">
            <a:defRPr sz="1000" b="1" i="0" u="none" strike="noStrike" kern="1200" baseline="0">
              <a:solidFill>
                <a:sysClr val="windowText" lastClr="000000"/>
              </a:solidFill>
              <a:latin typeface="+mn-lt"/>
              <a:ea typeface="+mn-ea"/>
              <a:cs typeface="+mn-cs"/>
            </a:defRPr>
          </a:pPr>
          <a:r>
            <a:rPr kumimoji="0" lang="es-PE" sz="1100" b="1" i="0" u="none" strike="noStrike" kern="1200" cap="none" spc="0" normalizeH="0" baseline="0" noProof="0">
              <a:ln>
                <a:noFill/>
              </a:ln>
              <a:solidFill>
                <a:sysClr val="windowText" lastClr="000000"/>
              </a:solidFill>
              <a:effectLst/>
              <a:uLnTx/>
              <a:uFillTx/>
              <a:latin typeface="Aileron Black" panose="00000A00000000000000" pitchFamily="50" charset="0"/>
            </a:rPr>
            <a:t>Valorizado del período por partida</a:t>
          </a:r>
        </a:p>
      </cx:txPr>
    </cx:title>
    <cx:plotArea>
      <cx:plotAreaRegion>
        <cx:series layoutId="treemap" uniqueId="{0BF804FE-1A0F-44B5-A1E3-5AFEC208DC46}" formatIdx="0">
          <cx:tx>
            <cx:txData>
              <cx:f>_xlchart.v1.3</cx:f>
              <cx:v>Saldo</cx:v>
            </cx:txData>
          </cx:tx>
          <cx:dataLabels pos="inEnd">
            <cx:visibility seriesName="0" categoryName="1" value="0"/>
          </cx:dataLabels>
          <cx:dataId val="0"/>
          <cx:layoutPr>
            <cx:parentLabelLayout val="overlapping"/>
          </cx:layoutPr>
        </cx:series>
        <cx:series layoutId="treemap" hidden="1" uniqueId="{00000001-633E-4F50-A882-5ACC092A5B45}" formatIdx="1">
          <cx:tx>
            <cx:txData>
              <cx:f>_xlchart.v1.0</cx:f>
              <cx:v>Saldo</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0</xdr:col>
      <xdr:colOff>302560</xdr:colOff>
      <xdr:row>25</xdr:row>
      <xdr:rowOff>112057</xdr:rowOff>
    </xdr:from>
    <xdr:ext cx="7586382" cy="4134971"/>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2560" y="5160307"/>
              <a:ext cx="7586382" cy="4134971"/>
            </a:xfrm>
            <a:prstGeom prst="rect">
              <a:avLst/>
            </a:prstGeom>
            <a:solidFill>
              <a:prstClr val="white"/>
            </a:solidFill>
            <a:ln w="1">
              <a:solidFill>
                <a:prstClr val="green"/>
              </a:solidFill>
            </a:ln>
          </xdr:spPr>
          <xdr:txBody>
            <a:bodyPr vertOverflow="clip" horzOverflow="clip"/>
            <a:lstStyle/>
            <a:p>
              <a:r>
                <a:rPr lang="es-PE" sz="1100"/>
                <a:t>Este gráfico no está disponible en tu versión de Excel.
Si editas esta forma o guardas el libro en un formato de archivo diferente, el gráfico no se podrá utilizar.</a:t>
              </a:r>
            </a:p>
          </xdr:txBody>
        </xdr:sp>
      </mc:Fallback>
    </mc:AlternateContent>
    <xdr:clientData/>
  </xdr:oneCellAnchor>
  <xdr:oneCellAnchor>
    <xdr:from>
      <xdr:col>9</xdr:col>
      <xdr:colOff>235323</xdr:colOff>
      <xdr:row>25</xdr:row>
      <xdr:rowOff>123265</xdr:rowOff>
    </xdr:from>
    <xdr:ext cx="4241427" cy="4101353"/>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1042147</xdr:colOff>
      <xdr:row>25</xdr:row>
      <xdr:rowOff>123265</xdr:rowOff>
    </xdr:from>
    <xdr:ext cx="3115236" cy="4123764"/>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showGridLines="0" zoomScale="115" zoomScaleNormal="115" workbookViewId="0">
      <selection activeCell="B5" sqref="B5"/>
    </sheetView>
  </sheetViews>
  <sheetFormatPr baseColWidth="10" defaultColWidth="9.140625" defaultRowHeight="15" x14ac:dyDescent="0.25"/>
  <cols>
    <col min="1" max="1" width="24" customWidth="1"/>
    <col min="2" max="2" width="95" customWidth="1"/>
  </cols>
  <sheetData>
    <row r="1" spans="1:2" ht="18.75" x14ac:dyDescent="0.3">
      <c r="A1" s="1" t="s">
        <v>0</v>
      </c>
    </row>
    <row r="3" spans="1:2" x14ac:dyDescent="0.25">
      <c r="A3" s="2" t="s">
        <v>1</v>
      </c>
    </row>
    <row r="4" spans="1:2" x14ac:dyDescent="0.25">
      <c r="A4" s="3" t="s">
        <v>2</v>
      </c>
      <c r="B4" s="37" t="s">
        <v>181</v>
      </c>
    </row>
    <row r="5" spans="1:2" x14ac:dyDescent="0.25">
      <c r="A5" s="3" t="s">
        <v>3</v>
      </c>
      <c r="B5" s="37" t="s">
        <v>182</v>
      </c>
    </row>
    <row r="6" spans="1:2" x14ac:dyDescent="0.25">
      <c r="A6" s="3" t="s">
        <v>4</v>
      </c>
      <c r="B6" s="4" t="s">
        <v>5</v>
      </c>
    </row>
    <row r="10" spans="1:2" x14ac:dyDescent="0.25">
      <c r="A10" s="2" t="s">
        <v>6</v>
      </c>
    </row>
    <row r="11" spans="1:2" x14ac:dyDescent="0.25">
      <c r="A11" s="5" t="s">
        <v>7</v>
      </c>
    </row>
    <row r="12" spans="1:2" x14ac:dyDescent="0.25">
      <c r="A12" s="5" t="s">
        <v>8</v>
      </c>
    </row>
    <row r="13" spans="1:2" x14ac:dyDescent="0.25">
      <c r="A13" s="5" t="s">
        <v>9</v>
      </c>
    </row>
    <row r="14" spans="1:2" x14ac:dyDescent="0.25">
      <c r="A14" s="5" t="s">
        <v>10</v>
      </c>
    </row>
    <row r="15" spans="1:2" x14ac:dyDescent="0.25">
      <c r="A15" s="5" t="s">
        <v>11</v>
      </c>
    </row>
    <row r="18" spans="1:1" x14ac:dyDescent="0.25">
      <c r="A18" s="2" t="s">
        <v>12</v>
      </c>
    </row>
    <row r="19" spans="1:1" x14ac:dyDescent="0.25">
      <c r="A19" s="5" t="s">
        <v>13</v>
      </c>
    </row>
    <row r="20" spans="1:1" x14ac:dyDescent="0.25">
      <c r="A20" s="5" t="s">
        <v>14</v>
      </c>
    </row>
    <row r="21" spans="1:1" x14ac:dyDescent="0.25">
      <c r="A21" s="5" t="s">
        <v>15</v>
      </c>
    </row>
    <row r="22" spans="1:1" x14ac:dyDescent="0.25">
      <c r="A22" s="5" t="s">
        <v>16</v>
      </c>
    </row>
    <row r="23" spans="1:1" x14ac:dyDescent="0.25">
      <c r="A23" s="5" t="s">
        <v>17</v>
      </c>
    </row>
    <row r="24" spans="1:1" x14ac:dyDescent="0.25">
      <c r="A24" s="5" t="s">
        <v>18</v>
      </c>
    </row>
    <row r="25" spans="1:1" x14ac:dyDescent="0.25">
      <c r="A25" s="5" t="s">
        <v>19</v>
      </c>
    </row>
    <row r="28" spans="1:1" x14ac:dyDescent="0.25">
      <c r="A28" s="2" t="s">
        <v>20</v>
      </c>
    </row>
    <row r="29" spans="1:1" x14ac:dyDescent="0.25">
      <c r="A29" s="5" t="s">
        <v>21</v>
      </c>
    </row>
    <row r="30" spans="1:1" x14ac:dyDescent="0.25">
      <c r="A30" s="5" t="s">
        <v>22</v>
      </c>
    </row>
    <row r="31" spans="1:1" x14ac:dyDescent="0.25">
      <c r="A31" s="5" t="s">
        <v>23</v>
      </c>
    </row>
    <row r="32" spans="1:1" x14ac:dyDescent="0.25">
      <c r="A32" s="5" t="s">
        <v>24</v>
      </c>
    </row>
    <row r="33" spans="1:1" x14ac:dyDescent="0.25">
      <c r="A33" s="5" t="s">
        <v>25</v>
      </c>
    </row>
    <row r="36" spans="1:1" x14ac:dyDescent="0.25">
      <c r="A36" s="2" t="s">
        <v>26</v>
      </c>
    </row>
    <row r="37" spans="1:1" x14ac:dyDescent="0.25">
      <c r="A37" s="5" t="s">
        <v>27</v>
      </c>
    </row>
    <row r="38" spans="1:1" x14ac:dyDescent="0.25">
      <c r="A38" s="5" t="s">
        <v>28</v>
      </c>
    </row>
    <row r="39" spans="1:1" x14ac:dyDescent="0.25">
      <c r="A39" s="5" t="s">
        <v>29</v>
      </c>
    </row>
    <row r="42" spans="1:1" x14ac:dyDescent="0.25">
      <c r="A42" s="2" t="s">
        <v>30</v>
      </c>
    </row>
    <row r="43" spans="1:1" x14ac:dyDescent="0.25">
      <c r="A43" s="5" t="s">
        <v>31</v>
      </c>
    </row>
    <row r="44" spans="1:1" x14ac:dyDescent="0.25">
      <c r="A44" s="5" t="s">
        <v>32</v>
      </c>
    </row>
    <row r="45" spans="1:1" x14ac:dyDescent="0.25">
      <c r="A45" s="5" t="s">
        <v>33</v>
      </c>
    </row>
    <row r="46" spans="1:1" x14ac:dyDescent="0.25">
      <c r="A46" s="5" t="s">
        <v>34</v>
      </c>
    </row>
    <row r="47" spans="1:1" x14ac:dyDescent="0.25">
      <c r="A47" s="5" t="s">
        <v>35</v>
      </c>
    </row>
    <row r="50" spans="1:1" x14ac:dyDescent="0.25">
      <c r="A50" s="2" t="s">
        <v>36</v>
      </c>
    </row>
    <row r="51" spans="1:1" x14ac:dyDescent="0.25">
      <c r="A51" s="5" t="s">
        <v>37</v>
      </c>
    </row>
    <row r="52" spans="1:1" x14ac:dyDescent="0.25">
      <c r="A52" s="5" t="s">
        <v>38</v>
      </c>
    </row>
    <row r="55" spans="1:1" x14ac:dyDescent="0.25">
      <c r="A55" s="2" t="s">
        <v>39</v>
      </c>
    </row>
    <row r="56" spans="1:1" x14ac:dyDescent="0.25">
      <c r="A56" s="5" t="s">
        <v>7</v>
      </c>
    </row>
    <row r="57" spans="1:1" x14ac:dyDescent="0.25">
      <c r="A57" s="5" t="s">
        <v>8</v>
      </c>
    </row>
    <row r="58" spans="1:1" x14ac:dyDescent="0.25">
      <c r="A58" s="5" t="s">
        <v>9</v>
      </c>
    </row>
    <row r="59" spans="1:1" x14ac:dyDescent="0.25">
      <c r="A59" s="5"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election activeCell="B3" sqref="B3"/>
    </sheetView>
  </sheetViews>
  <sheetFormatPr baseColWidth="10" defaultColWidth="9.140625" defaultRowHeight="15" x14ac:dyDescent="0.25"/>
  <cols>
    <col min="1" max="1" width="32" customWidth="1"/>
    <col min="2" max="2" width="42" customWidth="1"/>
  </cols>
  <sheetData>
    <row r="1" spans="1:2" ht="18.75" x14ac:dyDescent="0.3">
      <c r="A1" s="1" t="s">
        <v>40</v>
      </c>
    </row>
    <row r="3" spans="1:2" x14ac:dyDescent="0.25">
      <c r="A3" s="3" t="s">
        <v>31</v>
      </c>
      <c r="B3" s="6" t="s">
        <v>41</v>
      </c>
    </row>
    <row r="4" spans="1:2" x14ac:dyDescent="0.25">
      <c r="A4" s="3" t="s">
        <v>42</v>
      </c>
      <c r="B4" s="6" t="s">
        <v>43</v>
      </c>
    </row>
    <row r="5" spans="1:2" x14ac:dyDescent="0.25">
      <c r="A5" s="3" t="s">
        <v>44</v>
      </c>
      <c r="B5" s="6" t="s">
        <v>45</v>
      </c>
    </row>
    <row r="6" spans="1:2" x14ac:dyDescent="0.25">
      <c r="A6" s="3" t="s">
        <v>46</v>
      </c>
      <c r="B6" s="6" t="s">
        <v>47</v>
      </c>
    </row>
    <row r="7" spans="1:2" x14ac:dyDescent="0.25">
      <c r="A7" s="3" t="s">
        <v>48</v>
      </c>
      <c r="B7" s="6" t="s">
        <v>49</v>
      </c>
    </row>
    <row r="8" spans="1:2" x14ac:dyDescent="0.25">
      <c r="A8" s="3" t="s">
        <v>50</v>
      </c>
      <c r="B8" s="6" t="s">
        <v>51</v>
      </c>
    </row>
    <row r="9" spans="1:2" x14ac:dyDescent="0.25">
      <c r="A9" s="3" t="s">
        <v>52</v>
      </c>
      <c r="B9" s="6" t="s">
        <v>37</v>
      </c>
    </row>
    <row r="10" spans="1:2" x14ac:dyDescent="0.25">
      <c r="A10" s="3" t="s">
        <v>53</v>
      </c>
      <c r="B10" s="7">
        <v>150000</v>
      </c>
    </row>
    <row r="11" spans="1:2" x14ac:dyDescent="0.25">
      <c r="A11" s="3" t="s">
        <v>54</v>
      </c>
      <c r="B11" s="6" t="s">
        <v>29</v>
      </c>
    </row>
    <row r="12" spans="1:2" x14ac:dyDescent="0.25">
      <c r="A12" s="3" t="s">
        <v>55</v>
      </c>
      <c r="B12" s="6">
        <v>1</v>
      </c>
    </row>
    <row r="13" spans="1:2" x14ac:dyDescent="0.25">
      <c r="A13" s="3" t="s">
        <v>56</v>
      </c>
      <c r="B13" s="6" t="s">
        <v>57</v>
      </c>
    </row>
    <row r="14" spans="1:2" x14ac:dyDescent="0.25">
      <c r="A14" s="3" t="s">
        <v>58</v>
      </c>
      <c r="B14" s="8" t="s">
        <v>59</v>
      </c>
    </row>
    <row r="15" spans="1:2" x14ac:dyDescent="0.25">
      <c r="A15" s="3" t="s">
        <v>60</v>
      </c>
      <c r="B15" s="8" t="s">
        <v>61</v>
      </c>
    </row>
    <row r="16" spans="1:2" x14ac:dyDescent="0.25">
      <c r="A16" s="3" t="s">
        <v>62</v>
      </c>
      <c r="B16" s="8" t="s">
        <v>63</v>
      </c>
    </row>
    <row r="17" spans="1:2" x14ac:dyDescent="0.25">
      <c r="A17" s="3" t="s">
        <v>64</v>
      </c>
      <c r="B17" s="6">
        <v>90</v>
      </c>
    </row>
    <row r="18" spans="1:2" x14ac:dyDescent="0.25">
      <c r="A18" s="3" t="s">
        <v>65</v>
      </c>
      <c r="B18" s="6" t="s">
        <v>7</v>
      </c>
    </row>
    <row r="19" spans="1:2" x14ac:dyDescent="0.25">
      <c r="A19" s="3" t="s">
        <v>66</v>
      </c>
      <c r="B19" s="6" t="s">
        <v>67</v>
      </c>
    </row>
  </sheetData>
  <dataValidations count="3">
    <dataValidation type="list" sqref="B9" xr:uid="{00000000-0002-0000-0100-000000000000}">
      <formula1>lstMonedas</formula1>
    </dataValidation>
    <dataValidation type="list" sqref="B11" xr:uid="{00000000-0002-0000-0100-000001000000}">
      <formula1>lstPeriodicidad</formula1>
    </dataValidation>
    <dataValidation type="list" sqref="B18" xr:uid="{00000000-0002-0000-0100-000002000000}">
      <formula1>lstEstadosVal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5"/>
  <sheetViews>
    <sheetView showGridLines="0" workbookViewId="0">
      <pane ySplit="3" topLeftCell="A4" activePane="bottomLeft" state="frozen"/>
      <selection pane="bottomLeft" activeCell="H4" sqref="H4"/>
    </sheetView>
  </sheetViews>
  <sheetFormatPr baseColWidth="10" defaultColWidth="9.140625" defaultRowHeight="15" x14ac:dyDescent="0.25"/>
  <cols>
    <col min="1" max="1" width="7" customWidth="1"/>
    <col min="2" max="2" width="12" customWidth="1"/>
    <col min="3" max="3" width="14" customWidth="1"/>
    <col min="4" max="4" width="32" customWidth="1"/>
    <col min="5" max="5" width="10" customWidth="1"/>
    <col min="6" max="6" width="16" customWidth="1"/>
    <col min="7" max="7" width="14" customWidth="1"/>
    <col min="8" max="8" width="17" customWidth="1"/>
    <col min="9" max="9" width="10" customWidth="1"/>
    <col min="10" max="10" width="18" customWidth="1"/>
    <col min="11" max="11" width="24" customWidth="1"/>
  </cols>
  <sheetData>
    <row r="1" spans="1:11" ht="18.75" x14ac:dyDescent="0.3">
      <c r="A1" s="1" t="s">
        <v>68</v>
      </c>
    </row>
    <row r="3" spans="1:11" ht="30" x14ac:dyDescent="0.25">
      <c r="A3" s="9" t="s">
        <v>69</v>
      </c>
      <c r="B3" s="9" t="s">
        <v>44</v>
      </c>
      <c r="C3" s="9" t="s">
        <v>70</v>
      </c>
      <c r="D3" s="9" t="s">
        <v>21</v>
      </c>
      <c r="E3" s="9" t="s">
        <v>71</v>
      </c>
      <c r="F3" s="9" t="s">
        <v>72</v>
      </c>
      <c r="G3" s="9" t="s">
        <v>73</v>
      </c>
      <c r="H3" s="9" t="s">
        <v>74</v>
      </c>
      <c r="I3" s="9" t="s">
        <v>75</v>
      </c>
      <c r="J3" s="9" t="s">
        <v>76</v>
      </c>
      <c r="K3" s="9" t="s">
        <v>77</v>
      </c>
    </row>
    <row r="4" spans="1:11" x14ac:dyDescent="0.25">
      <c r="A4" s="6" t="s">
        <v>78</v>
      </c>
      <c r="B4" s="6" t="s">
        <v>79</v>
      </c>
      <c r="C4" s="6" t="s">
        <v>21</v>
      </c>
      <c r="D4" s="6" t="s">
        <v>80</v>
      </c>
      <c r="E4" s="6" t="s">
        <v>14</v>
      </c>
      <c r="F4" s="10">
        <v>120</v>
      </c>
      <c r="G4" s="7">
        <v>25</v>
      </c>
      <c r="H4" s="11">
        <f t="shared" ref="H4:H35" si="0">F4*G4</f>
        <v>3000</v>
      </c>
      <c r="I4" s="12">
        <f t="shared" ref="I4:I35" si="1">IFERROR(H4/SUM($H$4:$H$103),0)</f>
        <v>2.2641509433962263E-2</v>
      </c>
      <c r="J4" s="6" t="s">
        <v>32</v>
      </c>
      <c r="K4" s="6"/>
    </row>
    <row r="5" spans="1:11" x14ac:dyDescent="0.25">
      <c r="A5" s="6" t="s">
        <v>81</v>
      </c>
      <c r="B5" s="6" t="s">
        <v>82</v>
      </c>
      <c r="C5" s="6" t="s">
        <v>21</v>
      </c>
      <c r="D5" s="6" t="s">
        <v>83</v>
      </c>
      <c r="E5" s="6" t="s">
        <v>14</v>
      </c>
      <c r="F5" s="10">
        <v>180</v>
      </c>
      <c r="G5" s="7">
        <v>95</v>
      </c>
      <c r="H5" s="11">
        <f t="shared" si="0"/>
        <v>17100</v>
      </c>
      <c r="I5" s="12">
        <f t="shared" si="1"/>
        <v>0.12905660377358491</v>
      </c>
      <c r="J5" s="6" t="s">
        <v>32</v>
      </c>
      <c r="K5" s="6"/>
    </row>
    <row r="6" spans="1:11" x14ac:dyDescent="0.25">
      <c r="A6" s="6" t="s">
        <v>84</v>
      </c>
      <c r="B6" s="6" t="s">
        <v>85</v>
      </c>
      <c r="C6" s="6" t="s">
        <v>21</v>
      </c>
      <c r="D6" s="6" t="s">
        <v>86</v>
      </c>
      <c r="E6" s="6" t="s">
        <v>14</v>
      </c>
      <c r="F6" s="10">
        <v>180</v>
      </c>
      <c r="G6" s="7">
        <v>62</v>
      </c>
      <c r="H6" s="11">
        <f t="shared" si="0"/>
        <v>11160</v>
      </c>
      <c r="I6" s="12">
        <f t="shared" si="1"/>
        <v>8.4226415094339618E-2</v>
      </c>
      <c r="J6" s="6" t="s">
        <v>32</v>
      </c>
      <c r="K6" s="6"/>
    </row>
    <row r="7" spans="1:11" x14ac:dyDescent="0.25">
      <c r="A7" s="6" t="s">
        <v>87</v>
      </c>
      <c r="B7" s="6" t="s">
        <v>88</v>
      </c>
      <c r="C7" s="6" t="s">
        <v>21</v>
      </c>
      <c r="D7" s="6" t="s">
        <v>89</v>
      </c>
      <c r="E7" s="6" t="s">
        <v>14</v>
      </c>
      <c r="F7" s="10">
        <v>220</v>
      </c>
      <c r="G7" s="7">
        <v>118</v>
      </c>
      <c r="H7" s="11">
        <f t="shared" si="0"/>
        <v>25960</v>
      </c>
      <c r="I7" s="12">
        <f t="shared" si="1"/>
        <v>0.19592452830188678</v>
      </c>
      <c r="J7" s="6" t="s">
        <v>32</v>
      </c>
      <c r="K7" s="6"/>
    </row>
    <row r="8" spans="1:11" x14ac:dyDescent="0.25">
      <c r="A8" s="6" t="s">
        <v>90</v>
      </c>
      <c r="B8" s="6" t="s">
        <v>91</v>
      </c>
      <c r="C8" s="6" t="s">
        <v>21</v>
      </c>
      <c r="D8" s="6" t="s">
        <v>92</v>
      </c>
      <c r="E8" s="6" t="s">
        <v>14</v>
      </c>
      <c r="F8" s="10">
        <v>850</v>
      </c>
      <c r="G8" s="7">
        <v>16</v>
      </c>
      <c r="H8" s="11">
        <f t="shared" si="0"/>
        <v>13600</v>
      </c>
      <c r="I8" s="12">
        <f t="shared" si="1"/>
        <v>0.10264150943396226</v>
      </c>
      <c r="J8" s="6" t="s">
        <v>32</v>
      </c>
      <c r="K8" s="6"/>
    </row>
    <row r="9" spans="1:11" x14ac:dyDescent="0.25">
      <c r="A9" s="6" t="s">
        <v>93</v>
      </c>
      <c r="B9" s="6" t="s">
        <v>94</v>
      </c>
      <c r="C9" s="6" t="s">
        <v>21</v>
      </c>
      <c r="D9" s="6" t="s">
        <v>95</v>
      </c>
      <c r="E9" s="6" t="s">
        <v>17</v>
      </c>
      <c r="F9" s="10">
        <v>1</v>
      </c>
      <c r="G9" s="7">
        <v>18500</v>
      </c>
      <c r="H9" s="11">
        <f t="shared" si="0"/>
        <v>18500</v>
      </c>
      <c r="I9" s="12">
        <f t="shared" si="1"/>
        <v>0.13962264150943396</v>
      </c>
      <c r="J9" s="6" t="s">
        <v>32</v>
      </c>
      <c r="K9" s="6"/>
    </row>
    <row r="10" spans="1:11" x14ac:dyDescent="0.25">
      <c r="A10" s="6" t="s">
        <v>96</v>
      </c>
      <c r="B10" s="6" t="s">
        <v>97</v>
      </c>
      <c r="C10" s="6" t="s">
        <v>21</v>
      </c>
      <c r="D10" s="6" t="s">
        <v>98</v>
      </c>
      <c r="E10" s="6" t="s">
        <v>17</v>
      </c>
      <c r="F10" s="10">
        <v>1</v>
      </c>
      <c r="G10" s="7">
        <v>9200</v>
      </c>
      <c r="H10" s="11">
        <f t="shared" si="0"/>
        <v>9200</v>
      </c>
      <c r="I10" s="12">
        <f t="shared" si="1"/>
        <v>6.9433962264150939E-2</v>
      </c>
      <c r="J10" s="6" t="s">
        <v>32</v>
      </c>
      <c r="K10" s="6"/>
    </row>
    <row r="11" spans="1:11" x14ac:dyDescent="0.25">
      <c r="A11" s="6" t="s">
        <v>99</v>
      </c>
      <c r="B11" s="6" t="s">
        <v>100</v>
      </c>
      <c r="C11" s="6" t="s">
        <v>21</v>
      </c>
      <c r="D11" s="6" t="s">
        <v>101</v>
      </c>
      <c r="E11" s="6" t="s">
        <v>17</v>
      </c>
      <c r="F11" s="10">
        <v>1</v>
      </c>
      <c r="G11" s="7">
        <v>14800</v>
      </c>
      <c r="H11" s="11">
        <f t="shared" si="0"/>
        <v>14800</v>
      </c>
      <c r="I11" s="12">
        <f t="shared" si="1"/>
        <v>0.11169811320754718</v>
      </c>
      <c r="J11" s="6" t="s">
        <v>32</v>
      </c>
      <c r="K11" s="6"/>
    </row>
    <row r="12" spans="1:11" x14ac:dyDescent="0.25">
      <c r="A12" s="6" t="s">
        <v>102</v>
      </c>
      <c r="B12" s="6" t="s">
        <v>103</v>
      </c>
      <c r="C12" s="6" t="s">
        <v>21</v>
      </c>
      <c r="D12" s="6" t="s">
        <v>104</v>
      </c>
      <c r="E12" s="6" t="s">
        <v>14</v>
      </c>
      <c r="F12" s="10">
        <v>42</v>
      </c>
      <c r="G12" s="7">
        <v>390</v>
      </c>
      <c r="H12" s="11">
        <f t="shared" si="0"/>
        <v>16380</v>
      </c>
      <c r="I12" s="12">
        <f t="shared" si="1"/>
        <v>0.12362264150943396</v>
      </c>
      <c r="J12" s="6" t="s">
        <v>32</v>
      </c>
      <c r="K12" s="6"/>
    </row>
    <row r="13" spans="1:11" x14ac:dyDescent="0.25">
      <c r="A13" s="6" t="s">
        <v>105</v>
      </c>
      <c r="B13" s="6" t="s">
        <v>106</v>
      </c>
      <c r="C13" s="6" t="s">
        <v>21</v>
      </c>
      <c r="D13" s="6" t="s">
        <v>107</v>
      </c>
      <c r="E13" s="6" t="s">
        <v>17</v>
      </c>
      <c r="F13" s="10">
        <v>1</v>
      </c>
      <c r="G13" s="7">
        <v>2800</v>
      </c>
      <c r="H13" s="11">
        <f t="shared" si="0"/>
        <v>2800</v>
      </c>
      <c r="I13" s="12">
        <f t="shared" si="1"/>
        <v>2.1132075471698115E-2</v>
      </c>
      <c r="J13" s="6" t="s">
        <v>32</v>
      </c>
      <c r="K13" s="6"/>
    </row>
    <row r="14" spans="1:11" x14ac:dyDescent="0.25">
      <c r="A14" s="6"/>
      <c r="B14" s="6"/>
      <c r="C14" s="6"/>
      <c r="D14" s="6"/>
      <c r="E14" s="6"/>
      <c r="F14" s="10"/>
      <c r="G14" s="7"/>
      <c r="H14" s="11">
        <f t="shared" si="0"/>
        <v>0</v>
      </c>
      <c r="I14" s="12">
        <f t="shared" si="1"/>
        <v>0</v>
      </c>
      <c r="J14" s="6"/>
      <c r="K14" s="6"/>
    </row>
    <row r="15" spans="1:11" x14ac:dyDescent="0.25">
      <c r="A15" s="6"/>
      <c r="B15" s="6"/>
      <c r="C15" s="6"/>
      <c r="D15" s="6"/>
      <c r="E15" s="6"/>
      <c r="F15" s="10"/>
      <c r="G15" s="7"/>
      <c r="H15" s="11">
        <f t="shared" si="0"/>
        <v>0</v>
      </c>
      <c r="I15" s="12">
        <f t="shared" si="1"/>
        <v>0</v>
      </c>
      <c r="J15" s="6"/>
      <c r="K15" s="6"/>
    </row>
    <row r="16" spans="1:11" x14ac:dyDescent="0.25">
      <c r="A16" s="6"/>
      <c r="B16" s="6"/>
      <c r="C16" s="6"/>
      <c r="D16" s="6"/>
      <c r="E16" s="6"/>
      <c r="F16" s="10"/>
      <c r="G16" s="7"/>
      <c r="H16" s="11">
        <f t="shared" si="0"/>
        <v>0</v>
      </c>
      <c r="I16" s="12">
        <f t="shared" si="1"/>
        <v>0</v>
      </c>
      <c r="J16" s="6"/>
      <c r="K16" s="6"/>
    </row>
    <row r="17" spans="1:11" x14ac:dyDescent="0.25">
      <c r="A17" s="6"/>
      <c r="B17" s="6"/>
      <c r="C17" s="6"/>
      <c r="D17" s="6"/>
      <c r="E17" s="6"/>
      <c r="F17" s="10"/>
      <c r="G17" s="7"/>
      <c r="H17" s="11">
        <f t="shared" si="0"/>
        <v>0</v>
      </c>
      <c r="I17" s="12">
        <f t="shared" si="1"/>
        <v>0</v>
      </c>
      <c r="J17" s="6"/>
      <c r="K17" s="6"/>
    </row>
    <row r="18" spans="1:11" x14ac:dyDescent="0.25">
      <c r="A18" s="6"/>
      <c r="B18" s="6"/>
      <c r="C18" s="6"/>
      <c r="D18" s="6"/>
      <c r="E18" s="6"/>
      <c r="F18" s="10"/>
      <c r="G18" s="7"/>
      <c r="H18" s="11">
        <f t="shared" si="0"/>
        <v>0</v>
      </c>
      <c r="I18" s="12">
        <f t="shared" si="1"/>
        <v>0</v>
      </c>
      <c r="J18" s="6"/>
      <c r="K18" s="6"/>
    </row>
    <row r="19" spans="1:11" x14ac:dyDescent="0.25">
      <c r="A19" s="6"/>
      <c r="B19" s="6"/>
      <c r="C19" s="6"/>
      <c r="D19" s="6"/>
      <c r="E19" s="6"/>
      <c r="F19" s="10"/>
      <c r="G19" s="7"/>
      <c r="H19" s="11">
        <f t="shared" si="0"/>
        <v>0</v>
      </c>
      <c r="I19" s="12">
        <f t="shared" si="1"/>
        <v>0</v>
      </c>
      <c r="J19" s="6"/>
      <c r="K19" s="6"/>
    </row>
    <row r="20" spans="1:11" x14ac:dyDescent="0.25">
      <c r="A20" s="6"/>
      <c r="B20" s="6"/>
      <c r="C20" s="6"/>
      <c r="D20" s="6"/>
      <c r="E20" s="6"/>
      <c r="F20" s="10"/>
      <c r="G20" s="7"/>
      <c r="H20" s="11">
        <f t="shared" si="0"/>
        <v>0</v>
      </c>
      <c r="I20" s="12">
        <f t="shared" si="1"/>
        <v>0</v>
      </c>
      <c r="J20" s="6"/>
      <c r="K20" s="6"/>
    </row>
    <row r="21" spans="1:11" x14ac:dyDescent="0.25">
      <c r="A21" s="6"/>
      <c r="B21" s="6"/>
      <c r="C21" s="6"/>
      <c r="D21" s="6"/>
      <c r="E21" s="6"/>
      <c r="F21" s="10"/>
      <c r="G21" s="7"/>
      <c r="H21" s="11">
        <f t="shared" si="0"/>
        <v>0</v>
      </c>
      <c r="I21" s="12">
        <f t="shared" si="1"/>
        <v>0</v>
      </c>
      <c r="J21" s="6"/>
      <c r="K21" s="6"/>
    </row>
    <row r="22" spans="1:11" x14ac:dyDescent="0.25">
      <c r="A22" s="6"/>
      <c r="B22" s="6"/>
      <c r="C22" s="6"/>
      <c r="D22" s="6"/>
      <c r="E22" s="6"/>
      <c r="F22" s="10"/>
      <c r="G22" s="7"/>
      <c r="H22" s="11">
        <f t="shared" si="0"/>
        <v>0</v>
      </c>
      <c r="I22" s="12">
        <f t="shared" si="1"/>
        <v>0</v>
      </c>
      <c r="J22" s="6"/>
      <c r="K22" s="6"/>
    </row>
    <row r="23" spans="1:11" x14ac:dyDescent="0.25">
      <c r="A23" s="6"/>
      <c r="B23" s="6"/>
      <c r="C23" s="6"/>
      <c r="D23" s="6"/>
      <c r="E23" s="6"/>
      <c r="F23" s="10"/>
      <c r="G23" s="7"/>
      <c r="H23" s="11">
        <f t="shared" si="0"/>
        <v>0</v>
      </c>
      <c r="I23" s="12">
        <f t="shared" si="1"/>
        <v>0</v>
      </c>
      <c r="J23" s="6"/>
      <c r="K23" s="6"/>
    </row>
    <row r="24" spans="1:11" x14ac:dyDescent="0.25">
      <c r="A24" s="6"/>
      <c r="B24" s="6"/>
      <c r="C24" s="6"/>
      <c r="D24" s="6"/>
      <c r="E24" s="6"/>
      <c r="F24" s="10"/>
      <c r="G24" s="7"/>
      <c r="H24" s="11">
        <f t="shared" si="0"/>
        <v>0</v>
      </c>
      <c r="I24" s="12">
        <f t="shared" si="1"/>
        <v>0</v>
      </c>
      <c r="J24" s="6"/>
      <c r="K24" s="6"/>
    </row>
    <row r="25" spans="1:11" x14ac:dyDescent="0.25">
      <c r="A25" s="6"/>
      <c r="B25" s="6"/>
      <c r="C25" s="6"/>
      <c r="D25" s="6"/>
      <c r="E25" s="6"/>
      <c r="F25" s="10"/>
      <c r="G25" s="7"/>
      <c r="H25" s="11">
        <f t="shared" si="0"/>
        <v>0</v>
      </c>
      <c r="I25" s="12">
        <f t="shared" si="1"/>
        <v>0</v>
      </c>
      <c r="J25" s="6"/>
      <c r="K25" s="6"/>
    </row>
    <row r="26" spans="1:11" x14ac:dyDescent="0.25">
      <c r="A26" s="6"/>
      <c r="B26" s="6"/>
      <c r="C26" s="6"/>
      <c r="D26" s="6"/>
      <c r="E26" s="6"/>
      <c r="F26" s="10"/>
      <c r="G26" s="7"/>
      <c r="H26" s="11">
        <f t="shared" si="0"/>
        <v>0</v>
      </c>
      <c r="I26" s="12">
        <f t="shared" si="1"/>
        <v>0</v>
      </c>
      <c r="J26" s="6"/>
      <c r="K26" s="6"/>
    </row>
    <row r="27" spans="1:11" x14ac:dyDescent="0.25">
      <c r="A27" s="6"/>
      <c r="B27" s="6"/>
      <c r="C27" s="6"/>
      <c r="D27" s="6"/>
      <c r="E27" s="6"/>
      <c r="F27" s="10"/>
      <c r="G27" s="7"/>
      <c r="H27" s="11">
        <f t="shared" si="0"/>
        <v>0</v>
      </c>
      <c r="I27" s="12">
        <f t="shared" si="1"/>
        <v>0</v>
      </c>
      <c r="J27" s="6"/>
      <c r="K27" s="6"/>
    </row>
    <row r="28" spans="1:11" x14ac:dyDescent="0.25">
      <c r="A28" s="6"/>
      <c r="B28" s="6"/>
      <c r="C28" s="6"/>
      <c r="D28" s="6"/>
      <c r="E28" s="6"/>
      <c r="F28" s="10"/>
      <c r="G28" s="7"/>
      <c r="H28" s="11">
        <f t="shared" si="0"/>
        <v>0</v>
      </c>
      <c r="I28" s="12">
        <f t="shared" si="1"/>
        <v>0</v>
      </c>
      <c r="J28" s="6"/>
      <c r="K28" s="6"/>
    </row>
    <row r="29" spans="1:11" x14ac:dyDescent="0.25">
      <c r="A29" s="6"/>
      <c r="B29" s="6"/>
      <c r="C29" s="6"/>
      <c r="D29" s="6"/>
      <c r="E29" s="6"/>
      <c r="F29" s="10"/>
      <c r="G29" s="7"/>
      <c r="H29" s="11">
        <f t="shared" si="0"/>
        <v>0</v>
      </c>
      <c r="I29" s="12">
        <f t="shared" si="1"/>
        <v>0</v>
      </c>
      <c r="J29" s="6"/>
      <c r="K29" s="6"/>
    </row>
    <row r="30" spans="1:11" x14ac:dyDescent="0.25">
      <c r="A30" s="6"/>
      <c r="B30" s="6"/>
      <c r="C30" s="6"/>
      <c r="D30" s="6"/>
      <c r="E30" s="6"/>
      <c r="F30" s="10"/>
      <c r="G30" s="7"/>
      <c r="H30" s="11">
        <f t="shared" si="0"/>
        <v>0</v>
      </c>
      <c r="I30" s="12">
        <f t="shared" si="1"/>
        <v>0</v>
      </c>
      <c r="J30" s="6"/>
      <c r="K30" s="6"/>
    </row>
    <row r="31" spans="1:11" x14ac:dyDescent="0.25">
      <c r="A31" s="6"/>
      <c r="B31" s="6"/>
      <c r="C31" s="6"/>
      <c r="D31" s="6"/>
      <c r="E31" s="6"/>
      <c r="F31" s="10"/>
      <c r="G31" s="7"/>
      <c r="H31" s="11">
        <f t="shared" si="0"/>
        <v>0</v>
      </c>
      <c r="I31" s="12">
        <f t="shared" si="1"/>
        <v>0</v>
      </c>
      <c r="J31" s="6"/>
      <c r="K31" s="6"/>
    </row>
    <row r="32" spans="1:11" x14ac:dyDescent="0.25">
      <c r="A32" s="6"/>
      <c r="B32" s="6"/>
      <c r="C32" s="6"/>
      <c r="D32" s="6"/>
      <c r="E32" s="6"/>
      <c r="F32" s="10"/>
      <c r="G32" s="7"/>
      <c r="H32" s="11">
        <f t="shared" si="0"/>
        <v>0</v>
      </c>
      <c r="I32" s="12">
        <f t="shared" si="1"/>
        <v>0</v>
      </c>
      <c r="J32" s="6"/>
      <c r="K32" s="6"/>
    </row>
    <row r="33" spans="1:11" x14ac:dyDescent="0.25">
      <c r="A33" s="6"/>
      <c r="B33" s="6"/>
      <c r="C33" s="6"/>
      <c r="D33" s="6"/>
      <c r="E33" s="6"/>
      <c r="F33" s="10"/>
      <c r="G33" s="7"/>
      <c r="H33" s="11">
        <f t="shared" si="0"/>
        <v>0</v>
      </c>
      <c r="I33" s="12">
        <f t="shared" si="1"/>
        <v>0</v>
      </c>
      <c r="J33" s="6"/>
      <c r="K33" s="6"/>
    </row>
    <row r="34" spans="1:11" x14ac:dyDescent="0.25">
      <c r="A34" s="6"/>
      <c r="B34" s="6"/>
      <c r="C34" s="6"/>
      <c r="D34" s="6"/>
      <c r="E34" s="6"/>
      <c r="F34" s="10"/>
      <c r="G34" s="7"/>
      <c r="H34" s="11">
        <f t="shared" si="0"/>
        <v>0</v>
      </c>
      <c r="I34" s="12">
        <f t="shared" si="1"/>
        <v>0</v>
      </c>
      <c r="J34" s="6"/>
      <c r="K34" s="6"/>
    </row>
    <row r="35" spans="1:11" x14ac:dyDescent="0.25">
      <c r="A35" s="6"/>
      <c r="B35" s="6"/>
      <c r="C35" s="6"/>
      <c r="D35" s="6"/>
      <c r="E35" s="6"/>
      <c r="F35" s="10"/>
      <c r="G35" s="7"/>
      <c r="H35" s="11">
        <f t="shared" si="0"/>
        <v>0</v>
      </c>
      <c r="I35" s="12">
        <f t="shared" si="1"/>
        <v>0</v>
      </c>
      <c r="J35" s="6"/>
      <c r="K35" s="6"/>
    </row>
    <row r="36" spans="1:11" x14ac:dyDescent="0.25">
      <c r="A36" s="6"/>
      <c r="B36" s="6"/>
      <c r="C36" s="6"/>
      <c r="D36" s="6"/>
      <c r="E36" s="6"/>
      <c r="F36" s="10"/>
      <c r="G36" s="7"/>
      <c r="H36" s="11">
        <f t="shared" ref="H36:H67" si="2">F36*G36</f>
        <v>0</v>
      </c>
      <c r="I36" s="12">
        <f t="shared" ref="I36:I67" si="3">IFERROR(H36/SUM($H$4:$H$103),0)</f>
        <v>0</v>
      </c>
      <c r="J36" s="6"/>
      <c r="K36" s="6"/>
    </row>
    <row r="37" spans="1:11" x14ac:dyDescent="0.25">
      <c r="A37" s="6"/>
      <c r="B37" s="6"/>
      <c r="C37" s="6"/>
      <c r="D37" s="6"/>
      <c r="E37" s="6"/>
      <c r="F37" s="10"/>
      <c r="G37" s="7"/>
      <c r="H37" s="11">
        <f t="shared" si="2"/>
        <v>0</v>
      </c>
      <c r="I37" s="12">
        <f t="shared" si="3"/>
        <v>0</v>
      </c>
      <c r="J37" s="6"/>
      <c r="K37" s="6"/>
    </row>
    <row r="38" spans="1:11" x14ac:dyDescent="0.25">
      <c r="A38" s="6"/>
      <c r="B38" s="6"/>
      <c r="C38" s="6"/>
      <c r="D38" s="6"/>
      <c r="E38" s="6"/>
      <c r="F38" s="10"/>
      <c r="G38" s="7"/>
      <c r="H38" s="11">
        <f t="shared" si="2"/>
        <v>0</v>
      </c>
      <c r="I38" s="12">
        <f t="shared" si="3"/>
        <v>0</v>
      </c>
      <c r="J38" s="6"/>
      <c r="K38" s="6"/>
    </row>
    <row r="39" spans="1:11" x14ac:dyDescent="0.25">
      <c r="A39" s="6"/>
      <c r="B39" s="6"/>
      <c r="C39" s="6"/>
      <c r="D39" s="6"/>
      <c r="E39" s="6"/>
      <c r="F39" s="10"/>
      <c r="G39" s="7"/>
      <c r="H39" s="11">
        <f t="shared" si="2"/>
        <v>0</v>
      </c>
      <c r="I39" s="12">
        <f t="shared" si="3"/>
        <v>0</v>
      </c>
      <c r="J39" s="6"/>
      <c r="K39" s="6"/>
    </row>
    <row r="40" spans="1:11" x14ac:dyDescent="0.25">
      <c r="A40" s="6"/>
      <c r="B40" s="6"/>
      <c r="C40" s="6"/>
      <c r="D40" s="6"/>
      <c r="E40" s="6"/>
      <c r="F40" s="10"/>
      <c r="G40" s="7"/>
      <c r="H40" s="11">
        <f t="shared" si="2"/>
        <v>0</v>
      </c>
      <c r="I40" s="12">
        <f t="shared" si="3"/>
        <v>0</v>
      </c>
      <c r="J40" s="6"/>
      <c r="K40" s="6"/>
    </row>
    <row r="41" spans="1:11" x14ac:dyDescent="0.25">
      <c r="A41" s="6"/>
      <c r="B41" s="6"/>
      <c r="C41" s="6"/>
      <c r="D41" s="6"/>
      <c r="E41" s="6"/>
      <c r="F41" s="10"/>
      <c r="G41" s="7"/>
      <c r="H41" s="11">
        <f t="shared" si="2"/>
        <v>0</v>
      </c>
      <c r="I41" s="12">
        <f t="shared" si="3"/>
        <v>0</v>
      </c>
      <c r="J41" s="6"/>
      <c r="K41" s="6"/>
    </row>
    <row r="42" spans="1:11" x14ac:dyDescent="0.25">
      <c r="A42" s="6"/>
      <c r="B42" s="6"/>
      <c r="C42" s="6"/>
      <c r="D42" s="6"/>
      <c r="E42" s="6"/>
      <c r="F42" s="10"/>
      <c r="G42" s="7"/>
      <c r="H42" s="11">
        <f t="shared" si="2"/>
        <v>0</v>
      </c>
      <c r="I42" s="12">
        <f t="shared" si="3"/>
        <v>0</v>
      </c>
      <c r="J42" s="6"/>
      <c r="K42" s="6"/>
    </row>
    <row r="43" spans="1:11" x14ac:dyDescent="0.25">
      <c r="A43" s="6"/>
      <c r="B43" s="6"/>
      <c r="C43" s="6"/>
      <c r="D43" s="6"/>
      <c r="E43" s="6"/>
      <c r="F43" s="10"/>
      <c r="G43" s="7"/>
      <c r="H43" s="11">
        <f t="shared" si="2"/>
        <v>0</v>
      </c>
      <c r="I43" s="12">
        <f t="shared" si="3"/>
        <v>0</v>
      </c>
      <c r="J43" s="6"/>
      <c r="K43" s="6"/>
    </row>
    <row r="44" spans="1:11" x14ac:dyDescent="0.25">
      <c r="A44" s="6"/>
      <c r="B44" s="6"/>
      <c r="C44" s="6"/>
      <c r="D44" s="6"/>
      <c r="E44" s="6"/>
      <c r="F44" s="10"/>
      <c r="G44" s="7"/>
      <c r="H44" s="11">
        <f t="shared" si="2"/>
        <v>0</v>
      </c>
      <c r="I44" s="12">
        <f t="shared" si="3"/>
        <v>0</v>
      </c>
      <c r="J44" s="6"/>
      <c r="K44" s="6"/>
    </row>
    <row r="45" spans="1:11" x14ac:dyDescent="0.25">
      <c r="A45" s="6"/>
      <c r="B45" s="6"/>
      <c r="C45" s="6"/>
      <c r="D45" s="6"/>
      <c r="E45" s="6"/>
      <c r="F45" s="10"/>
      <c r="G45" s="7"/>
      <c r="H45" s="11">
        <f t="shared" si="2"/>
        <v>0</v>
      </c>
      <c r="I45" s="12">
        <f t="shared" si="3"/>
        <v>0</v>
      </c>
      <c r="J45" s="6"/>
      <c r="K45" s="6"/>
    </row>
    <row r="46" spans="1:11" x14ac:dyDescent="0.25">
      <c r="A46" s="6"/>
      <c r="B46" s="6"/>
      <c r="C46" s="6"/>
      <c r="D46" s="6"/>
      <c r="E46" s="6"/>
      <c r="F46" s="10"/>
      <c r="G46" s="7"/>
      <c r="H46" s="11">
        <f t="shared" si="2"/>
        <v>0</v>
      </c>
      <c r="I46" s="12">
        <f t="shared" si="3"/>
        <v>0</v>
      </c>
      <c r="J46" s="6"/>
      <c r="K46" s="6"/>
    </row>
    <row r="47" spans="1:11" x14ac:dyDescent="0.25">
      <c r="A47" s="6"/>
      <c r="B47" s="6"/>
      <c r="C47" s="6"/>
      <c r="D47" s="6"/>
      <c r="E47" s="6"/>
      <c r="F47" s="10"/>
      <c r="G47" s="7"/>
      <c r="H47" s="11">
        <f t="shared" si="2"/>
        <v>0</v>
      </c>
      <c r="I47" s="12">
        <f t="shared" si="3"/>
        <v>0</v>
      </c>
      <c r="J47" s="6"/>
      <c r="K47" s="6"/>
    </row>
    <row r="48" spans="1:11" x14ac:dyDescent="0.25">
      <c r="A48" s="6"/>
      <c r="B48" s="6"/>
      <c r="C48" s="6"/>
      <c r="D48" s="6"/>
      <c r="E48" s="6"/>
      <c r="F48" s="10"/>
      <c r="G48" s="7"/>
      <c r="H48" s="11">
        <f t="shared" si="2"/>
        <v>0</v>
      </c>
      <c r="I48" s="12">
        <f t="shared" si="3"/>
        <v>0</v>
      </c>
      <c r="J48" s="6"/>
      <c r="K48" s="6"/>
    </row>
    <row r="49" spans="1:11" x14ac:dyDescent="0.25">
      <c r="A49" s="6"/>
      <c r="B49" s="6"/>
      <c r="C49" s="6"/>
      <c r="D49" s="6"/>
      <c r="E49" s="6"/>
      <c r="F49" s="10"/>
      <c r="G49" s="7"/>
      <c r="H49" s="11">
        <f t="shared" si="2"/>
        <v>0</v>
      </c>
      <c r="I49" s="12">
        <f t="shared" si="3"/>
        <v>0</v>
      </c>
      <c r="J49" s="6"/>
      <c r="K49" s="6"/>
    </row>
    <row r="50" spans="1:11" x14ac:dyDescent="0.25">
      <c r="A50" s="6"/>
      <c r="B50" s="6"/>
      <c r="C50" s="6"/>
      <c r="D50" s="6"/>
      <c r="E50" s="6"/>
      <c r="F50" s="10"/>
      <c r="G50" s="7"/>
      <c r="H50" s="11">
        <f t="shared" si="2"/>
        <v>0</v>
      </c>
      <c r="I50" s="12">
        <f t="shared" si="3"/>
        <v>0</v>
      </c>
      <c r="J50" s="6"/>
      <c r="K50" s="6"/>
    </row>
    <row r="51" spans="1:11" x14ac:dyDescent="0.25">
      <c r="A51" s="6"/>
      <c r="B51" s="6"/>
      <c r="C51" s="6"/>
      <c r="D51" s="6"/>
      <c r="E51" s="6"/>
      <c r="F51" s="10"/>
      <c r="G51" s="7"/>
      <c r="H51" s="11">
        <f t="shared" si="2"/>
        <v>0</v>
      </c>
      <c r="I51" s="12">
        <f t="shared" si="3"/>
        <v>0</v>
      </c>
      <c r="J51" s="6"/>
      <c r="K51" s="6"/>
    </row>
    <row r="52" spans="1:11" x14ac:dyDescent="0.25">
      <c r="A52" s="6"/>
      <c r="B52" s="6"/>
      <c r="C52" s="6"/>
      <c r="D52" s="6"/>
      <c r="E52" s="6"/>
      <c r="F52" s="10"/>
      <c r="G52" s="7"/>
      <c r="H52" s="11">
        <f t="shared" si="2"/>
        <v>0</v>
      </c>
      <c r="I52" s="12">
        <f t="shared" si="3"/>
        <v>0</v>
      </c>
      <c r="J52" s="6"/>
      <c r="K52" s="6"/>
    </row>
    <row r="53" spans="1:11" x14ac:dyDescent="0.25">
      <c r="A53" s="6"/>
      <c r="B53" s="6"/>
      <c r="C53" s="6"/>
      <c r="D53" s="6"/>
      <c r="E53" s="6"/>
      <c r="F53" s="10"/>
      <c r="G53" s="7"/>
      <c r="H53" s="11">
        <f t="shared" si="2"/>
        <v>0</v>
      </c>
      <c r="I53" s="12">
        <f t="shared" si="3"/>
        <v>0</v>
      </c>
      <c r="J53" s="6"/>
      <c r="K53" s="6"/>
    </row>
    <row r="54" spans="1:11" x14ac:dyDescent="0.25">
      <c r="A54" s="6"/>
      <c r="B54" s="6"/>
      <c r="C54" s="6"/>
      <c r="D54" s="6"/>
      <c r="E54" s="6"/>
      <c r="F54" s="10"/>
      <c r="G54" s="7"/>
      <c r="H54" s="11">
        <f t="shared" si="2"/>
        <v>0</v>
      </c>
      <c r="I54" s="12">
        <f t="shared" si="3"/>
        <v>0</v>
      </c>
      <c r="J54" s="6"/>
      <c r="K54" s="6"/>
    </row>
    <row r="55" spans="1:11" x14ac:dyDescent="0.25">
      <c r="A55" s="6"/>
      <c r="B55" s="6"/>
      <c r="C55" s="6"/>
      <c r="D55" s="6"/>
      <c r="E55" s="6"/>
      <c r="F55" s="10"/>
      <c r="G55" s="7"/>
      <c r="H55" s="11">
        <f t="shared" si="2"/>
        <v>0</v>
      </c>
      <c r="I55" s="12">
        <f t="shared" si="3"/>
        <v>0</v>
      </c>
      <c r="J55" s="6"/>
      <c r="K55" s="6"/>
    </row>
    <row r="56" spans="1:11" x14ac:dyDescent="0.25">
      <c r="A56" s="6"/>
      <c r="B56" s="6"/>
      <c r="C56" s="6"/>
      <c r="D56" s="6"/>
      <c r="E56" s="6"/>
      <c r="F56" s="10"/>
      <c r="G56" s="7"/>
      <c r="H56" s="11">
        <f t="shared" si="2"/>
        <v>0</v>
      </c>
      <c r="I56" s="12">
        <f t="shared" si="3"/>
        <v>0</v>
      </c>
      <c r="J56" s="6"/>
      <c r="K56" s="6"/>
    </row>
    <row r="57" spans="1:11" x14ac:dyDescent="0.25">
      <c r="A57" s="6"/>
      <c r="B57" s="6"/>
      <c r="C57" s="6"/>
      <c r="D57" s="6"/>
      <c r="E57" s="6"/>
      <c r="F57" s="10"/>
      <c r="G57" s="7"/>
      <c r="H57" s="11">
        <f t="shared" si="2"/>
        <v>0</v>
      </c>
      <c r="I57" s="12">
        <f t="shared" si="3"/>
        <v>0</v>
      </c>
      <c r="J57" s="6"/>
      <c r="K57" s="6"/>
    </row>
    <row r="58" spans="1:11" x14ac:dyDescent="0.25">
      <c r="A58" s="6"/>
      <c r="B58" s="6"/>
      <c r="C58" s="6"/>
      <c r="D58" s="6"/>
      <c r="E58" s="6"/>
      <c r="F58" s="10"/>
      <c r="G58" s="7"/>
      <c r="H58" s="11">
        <f t="shared" si="2"/>
        <v>0</v>
      </c>
      <c r="I58" s="12">
        <f t="shared" si="3"/>
        <v>0</v>
      </c>
      <c r="J58" s="6"/>
      <c r="K58" s="6"/>
    </row>
    <row r="59" spans="1:11" x14ac:dyDescent="0.25">
      <c r="A59" s="6"/>
      <c r="B59" s="6"/>
      <c r="C59" s="6"/>
      <c r="D59" s="6"/>
      <c r="E59" s="6"/>
      <c r="F59" s="10"/>
      <c r="G59" s="7"/>
      <c r="H59" s="11">
        <f t="shared" si="2"/>
        <v>0</v>
      </c>
      <c r="I59" s="12">
        <f t="shared" si="3"/>
        <v>0</v>
      </c>
      <c r="J59" s="6"/>
      <c r="K59" s="6"/>
    </row>
    <row r="60" spans="1:11" x14ac:dyDescent="0.25">
      <c r="A60" s="6"/>
      <c r="B60" s="6"/>
      <c r="C60" s="6"/>
      <c r="D60" s="6"/>
      <c r="E60" s="6"/>
      <c r="F60" s="10"/>
      <c r="G60" s="7"/>
      <c r="H60" s="11">
        <f t="shared" si="2"/>
        <v>0</v>
      </c>
      <c r="I60" s="12">
        <f t="shared" si="3"/>
        <v>0</v>
      </c>
      <c r="J60" s="6"/>
      <c r="K60" s="6"/>
    </row>
    <row r="61" spans="1:11" x14ac:dyDescent="0.25">
      <c r="A61" s="6"/>
      <c r="B61" s="6"/>
      <c r="C61" s="6"/>
      <c r="D61" s="6"/>
      <c r="E61" s="6"/>
      <c r="F61" s="10"/>
      <c r="G61" s="7"/>
      <c r="H61" s="11">
        <f t="shared" si="2"/>
        <v>0</v>
      </c>
      <c r="I61" s="12">
        <f t="shared" si="3"/>
        <v>0</v>
      </c>
      <c r="J61" s="6"/>
      <c r="K61" s="6"/>
    </row>
    <row r="62" spans="1:11" x14ac:dyDescent="0.25">
      <c r="A62" s="6"/>
      <c r="B62" s="6"/>
      <c r="C62" s="6"/>
      <c r="D62" s="6"/>
      <c r="E62" s="6"/>
      <c r="F62" s="10"/>
      <c r="G62" s="7"/>
      <c r="H62" s="11">
        <f t="shared" si="2"/>
        <v>0</v>
      </c>
      <c r="I62" s="12">
        <f t="shared" si="3"/>
        <v>0</v>
      </c>
      <c r="J62" s="6"/>
      <c r="K62" s="6"/>
    </row>
    <row r="63" spans="1:11" x14ac:dyDescent="0.25">
      <c r="A63" s="6"/>
      <c r="B63" s="6"/>
      <c r="C63" s="6"/>
      <c r="D63" s="6"/>
      <c r="E63" s="6"/>
      <c r="F63" s="10"/>
      <c r="G63" s="7"/>
      <c r="H63" s="11">
        <f t="shared" si="2"/>
        <v>0</v>
      </c>
      <c r="I63" s="12">
        <f t="shared" si="3"/>
        <v>0</v>
      </c>
      <c r="J63" s="6"/>
      <c r="K63" s="6"/>
    </row>
    <row r="64" spans="1:11" x14ac:dyDescent="0.25">
      <c r="A64" s="6"/>
      <c r="B64" s="6"/>
      <c r="C64" s="6"/>
      <c r="D64" s="6"/>
      <c r="E64" s="6"/>
      <c r="F64" s="10"/>
      <c r="G64" s="7"/>
      <c r="H64" s="11">
        <f t="shared" si="2"/>
        <v>0</v>
      </c>
      <c r="I64" s="12">
        <f t="shared" si="3"/>
        <v>0</v>
      </c>
      <c r="J64" s="6"/>
      <c r="K64" s="6"/>
    </row>
    <row r="65" spans="1:11" x14ac:dyDescent="0.25">
      <c r="A65" s="6"/>
      <c r="B65" s="6"/>
      <c r="C65" s="6"/>
      <c r="D65" s="6"/>
      <c r="E65" s="6"/>
      <c r="F65" s="10"/>
      <c r="G65" s="7"/>
      <c r="H65" s="11">
        <f t="shared" si="2"/>
        <v>0</v>
      </c>
      <c r="I65" s="12">
        <f t="shared" si="3"/>
        <v>0</v>
      </c>
      <c r="J65" s="6"/>
      <c r="K65" s="6"/>
    </row>
    <row r="66" spans="1:11" x14ac:dyDescent="0.25">
      <c r="A66" s="6"/>
      <c r="B66" s="6"/>
      <c r="C66" s="6"/>
      <c r="D66" s="6"/>
      <c r="E66" s="6"/>
      <c r="F66" s="10"/>
      <c r="G66" s="7"/>
      <c r="H66" s="11">
        <f t="shared" si="2"/>
        <v>0</v>
      </c>
      <c r="I66" s="12">
        <f t="shared" si="3"/>
        <v>0</v>
      </c>
      <c r="J66" s="6"/>
      <c r="K66" s="6"/>
    </row>
    <row r="67" spans="1:11" x14ac:dyDescent="0.25">
      <c r="A67" s="6"/>
      <c r="B67" s="6"/>
      <c r="C67" s="6"/>
      <c r="D67" s="6"/>
      <c r="E67" s="6"/>
      <c r="F67" s="10"/>
      <c r="G67" s="7"/>
      <c r="H67" s="11">
        <f t="shared" si="2"/>
        <v>0</v>
      </c>
      <c r="I67" s="12">
        <f t="shared" si="3"/>
        <v>0</v>
      </c>
      <c r="J67" s="6"/>
      <c r="K67" s="6"/>
    </row>
    <row r="68" spans="1:11" x14ac:dyDescent="0.25">
      <c r="A68" s="6"/>
      <c r="B68" s="6"/>
      <c r="C68" s="6"/>
      <c r="D68" s="6"/>
      <c r="E68" s="6"/>
      <c r="F68" s="10"/>
      <c r="G68" s="7"/>
      <c r="H68" s="11">
        <f t="shared" ref="H68:H99" si="4">F68*G68</f>
        <v>0</v>
      </c>
      <c r="I68" s="12">
        <f t="shared" ref="I68:I99" si="5">IFERROR(H68/SUM($H$4:$H$103),0)</f>
        <v>0</v>
      </c>
      <c r="J68" s="6"/>
      <c r="K68" s="6"/>
    </row>
    <row r="69" spans="1:11" x14ac:dyDescent="0.25">
      <c r="A69" s="6"/>
      <c r="B69" s="6"/>
      <c r="C69" s="6"/>
      <c r="D69" s="6"/>
      <c r="E69" s="6"/>
      <c r="F69" s="10"/>
      <c r="G69" s="7"/>
      <c r="H69" s="11">
        <f t="shared" si="4"/>
        <v>0</v>
      </c>
      <c r="I69" s="12">
        <f t="shared" si="5"/>
        <v>0</v>
      </c>
      <c r="J69" s="6"/>
      <c r="K69" s="6"/>
    </row>
    <row r="70" spans="1:11" x14ac:dyDescent="0.25">
      <c r="A70" s="6"/>
      <c r="B70" s="6"/>
      <c r="C70" s="6"/>
      <c r="D70" s="6"/>
      <c r="E70" s="6"/>
      <c r="F70" s="10"/>
      <c r="G70" s="7"/>
      <c r="H70" s="11">
        <f t="shared" si="4"/>
        <v>0</v>
      </c>
      <c r="I70" s="12">
        <f t="shared" si="5"/>
        <v>0</v>
      </c>
      <c r="J70" s="6"/>
      <c r="K70" s="6"/>
    </row>
    <row r="71" spans="1:11" x14ac:dyDescent="0.25">
      <c r="A71" s="6"/>
      <c r="B71" s="6"/>
      <c r="C71" s="6"/>
      <c r="D71" s="6"/>
      <c r="E71" s="6"/>
      <c r="F71" s="10"/>
      <c r="G71" s="7"/>
      <c r="H71" s="11">
        <f t="shared" si="4"/>
        <v>0</v>
      </c>
      <c r="I71" s="12">
        <f t="shared" si="5"/>
        <v>0</v>
      </c>
      <c r="J71" s="6"/>
      <c r="K71" s="6"/>
    </row>
    <row r="72" spans="1:11" x14ac:dyDescent="0.25">
      <c r="A72" s="6"/>
      <c r="B72" s="6"/>
      <c r="C72" s="6"/>
      <c r="D72" s="6"/>
      <c r="E72" s="6"/>
      <c r="F72" s="10"/>
      <c r="G72" s="7"/>
      <c r="H72" s="11">
        <f t="shared" si="4"/>
        <v>0</v>
      </c>
      <c r="I72" s="12">
        <f t="shared" si="5"/>
        <v>0</v>
      </c>
      <c r="J72" s="6"/>
      <c r="K72" s="6"/>
    </row>
    <row r="73" spans="1:11" x14ac:dyDescent="0.25">
      <c r="A73" s="6"/>
      <c r="B73" s="6"/>
      <c r="C73" s="6"/>
      <c r="D73" s="6"/>
      <c r="E73" s="6"/>
      <c r="F73" s="10"/>
      <c r="G73" s="7"/>
      <c r="H73" s="11">
        <f t="shared" si="4"/>
        <v>0</v>
      </c>
      <c r="I73" s="12">
        <f t="shared" si="5"/>
        <v>0</v>
      </c>
      <c r="J73" s="6"/>
      <c r="K73" s="6"/>
    </row>
    <row r="74" spans="1:11" x14ac:dyDescent="0.25">
      <c r="A74" s="6"/>
      <c r="B74" s="6"/>
      <c r="C74" s="6"/>
      <c r="D74" s="6"/>
      <c r="E74" s="6"/>
      <c r="F74" s="10"/>
      <c r="G74" s="7"/>
      <c r="H74" s="11">
        <f t="shared" si="4"/>
        <v>0</v>
      </c>
      <c r="I74" s="12">
        <f t="shared" si="5"/>
        <v>0</v>
      </c>
      <c r="J74" s="6"/>
      <c r="K74" s="6"/>
    </row>
    <row r="75" spans="1:11" x14ac:dyDescent="0.25">
      <c r="A75" s="6"/>
      <c r="B75" s="6"/>
      <c r="C75" s="6"/>
      <c r="D75" s="6"/>
      <c r="E75" s="6"/>
      <c r="F75" s="10"/>
      <c r="G75" s="7"/>
      <c r="H75" s="11">
        <f t="shared" si="4"/>
        <v>0</v>
      </c>
      <c r="I75" s="12">
        <f t="shared" si="5"/>
        <v>0</v>
      </c>
      <c r="J75" s="6"/>
      <c r="K75" s="6"/>
    </row>
    <row r="76" spans="1:11" x14ac:dyDescent="0.25">
      <c r="A76" s="6"/>
      <c r="B76" s="6"/>
      <c r="C76" s="6"/>
      <c r="D76" s="6"/>
      <c r="E76" s="6"/>
      <c r="F76" s="10"/>
      <c r="G76" s="7"/>
      <c r="H76" s="11">
        <f t="shared" si="4"/>
        <v>0</v>
      </c>
      <c r="I76" s="12">
        <f t="shared" si="5"/>
        <v>0</v>
      </c>
      <c r="J76" s="6"/>
      <c r="K76" s="6"/>
    </row>
    <row r="77" spans="1:11" x14ac:dyDescent="0.25">
      <c r="A77" s="6"/>
      <c r="B77" s="6"/>
      <c r="C77" s="6"/>
      <c r="D77" s="6"/>
      <c r="E77" s="6"/>
      <c r="F77" s="10"/>
      <c r="G77" s="7"/>
      <c r="H77" s="11">
        <f t="shared" si="4"/>
        <v>0</v>
      </c>
      <c r="I77" s="12">
        <f t="shared" si="5"/>
        <v>0</v>
      </c>
      <c r="J77" s="6"/>
      <c r="K77" s="6"/>
    </row>
    <row r="78" spans="1:11" x14ac:dyDescent="0.25">
      <c r="A78" s="6"/>
      <c r="B78" s="6"/>
      <c r="C78" s="6"/>
      <c r="D78" s="6"/>
      <c r="E78" s="6"/>
      <c r="F78" s="10"/>
      <c r="G78" s="7"/>
      <c r="H78" s="11">
        <f t="shared" si="4"/>
        <v>0</v>
      </c>
      <c r="I78" s="12">
        <f t="shared" si="5"/>
        <v>0</v>
      </c>
      <c r="J78" s="6"/>
      <c r="K78" s="6"/>
    </row>
    <row r="79" spans="1:11" x14ac:dyDescent="0.25">
      <c r="A79" s="6"/>
      <c r="B79" s="6"/>
      <c r="C79" s="6"/>
      <c r="D79" s="6"/>
      <c r="E79" s="6"/>
      <c r="F79" s="10"/>
      <c r="G79" s="7"/>
      <c r="H79" s="11">
        <f t="shared" si="4"/>
        <v>0</v>
      </c>
      <c r="I79" s="12">
        <f t="shared" si="5"/>
        <v>0</v>
      </c>
      <c r="J79" s="6"/>
      <c r="K79" s="6"/>
    </row>
    <row r="80" spans="1:11" x14ac:dyDescent="0.25">
      <c r="A80" s="6"/>
      <c r="B80" s="6"/>
      <c r="C80" s="6"/>
      <c r="D80" s="6"/>
      <c r="E80" s="6"/>
      <c r="F80" s="10"/>
      <c r="G80" s="7"/>
      <c r="H80" s="11">
        <f t="shared" si="4"/>
        <v>0</v>
      </c>
      <c r="I80" s="12">
        <f t="shared" si="5"/>
        <v>0</v>
      </c>
      <c r="J80" s="6"/>
      <c r="K80" s="6"/>
    </row>
    <row r="81" spans="1:11" x14ac:dyDescent="0.25">
      <c r="A81" s="6"/>
      <c r="B81" s="6"/>
      <c r="C81" s="6"/>
      <c r="D81" s="6"/>
      <c r="E81" s="6"/>
      <c r="F81" s="10"/>
      <c r="G81" s="7"/>
      <c r="H81" s="11">
        <f t="shared" si="4"/>
        <v>0</v>
      </c>
      <c r="I81" s="12">
        <f t="shared" si="5"/>
        <v>0</v>
      </c>
      <c r="J81" s="6"/>
      <c r="K81" s="6"/>
    </row>
    <row r="82" spans="1:11" x14ac:dyDescent="0.25">
      <c r="A82" s="6"/>
      <c r="B82" s="6"/>
      <c r="C82" s="6"/>
      <c r="D82" s="6"/>
      <c r="E82" s="6"/>
      <c r="F82" s="10"/>
      <c r="G82" s="7"/>
      <c r="H82" s="11">
        <f t="shared" si="4"/>
        <v>0</v>
      </c>
      <c r="I82" s="12">
        <f t="shared" si="5"/>
        <v>0</v>
      </c>
      <c r="J82" s="6"/>
      <c r="K82" s="6"/>
    </row>
    <row r="83" spans="1:11" x14ac:dyDescent="0.25">
      <c r="A83" s="6"/>
      <c r="B83" s="6"/>
      <c r="C83" s="6"/>
      <c r="D83" s="6"/>
      <c r="E83" s="6"/>
      <c r="F83" s="10"/>
      <c r="G83" s="7"/>
      <c r="H83" s="11">
        <f t="shared" si="4"/>
        <v>0</v>
      </c>
      <c r="I83" s="12">
        <f t="shared" si="5"/>
        <v>0</v>
      </c>
      <c r="J83" s="6"/>
      <c r="K83" s="6"/>
    </row>
    <row r="84" spans="1:11" x14ac:dyDescent="0.25">
      <c r="A84" s="6"/>
      <c r="B84" s="6"/>
      <c r="C84" s="6"/>
      <c r="D84" s="6"/>
      <c r="E84" s="6"/>
      <c r="F84" s="10"/>
      <c r="G84" s="7"/>
      <c r="H84" s="11">
        <f t="shared" si="4"/>
        <v>0</v>
      </c>
      <c r="I84" s="12">
        <f t="shared" si="5"/>
        <v>0</v>
      </c>
      <c r="J84" s="6"/>
      <c r="K84" s="6"/>
    </row>
    <row r="85" spans="1:11" x14ac:dyDescent="0.25">
      <c r="A85" s="6"/>
      <c r="B85" s="6"/>
      <c r="C85" s="6"/>
      <c r="D85" s="6"/>
      <c r="E85" s="6"/>
      <c r="F85" s="10"/>
      <c r="G85" s="7"/>
      <c r="H85" s="11">
        <f t="shared" si="4"/>
        <v>0</v>
      </c>
      <c r="I85" s="12">
        <f t="shared" si="5"/>
        <v>0</v>
      </c>
      <c r="J85" s="6"/>
      <c r="K85" s="6"/>
    </row>
    <row r="86" spans="1:11" x14ac:dyDescent="0.25">
      <c r="A86" s="6"/>
      <c r="B86" s="6"/>
      <c r="C86" s="6"/>
      <c r="D86" s="6"/>
      <c r="E86" s="6"/>
      <c r="F86" s="10"/>
      <c r="G86" s="7"/>
      <c r="H86" s="11">
        <f t="shared" si="4"/>
        <v>0</v>
      </c>
      <c r="I86" s="12">
        <f t="shared" si="5"/>
        <v>0</v>
      </c>
      <c r="J86" s="6"/>
      <c r="K86" s="6"/>
    </row>
    <row r="87" spans="1:11" x14ac:dyDescent="0.25">
      <c r="A87" s="6"/>
      <c r="B87" s="6"/>
      <c r="C87" s="6"/>
      <c r="D87" s="6"/>
      <c r="E87" s="6"/>
      <c r="F87" s="10"/>
      <c r="G87" s="7"/>
      <c r="H87" s="11">
        <f t="shared" si="4"/>
        <v>0</v>
      </c>
      <c r="I87" s="12">
        <f t="shared" si="5"/>
        <v>0</v>
      </c>
      <c r="J87" s="6"/>
      <c r="K87" s="6"/>
    </row>
    <row r="88" spans="1:11" x14ac:dyDescent="0.25">
      <c r="A88" s="6"/>
      <c r="B88" s="6"/>
      <c r="C88" s="6"/>
      <c r="D88" s="6"/>
      <c r="E88" s="6"/>
      <c r="F88" s="10"/>
      <c r="G88" s="7"/>
      <c r="H88" s="11">
        <f t="shared" si="4"/>
        <v>0</v>
      </c>
      <c r="I88" s="12">
        <f t="shared" si="5"/>
        <v>0</v>
      </c>
      <c r="J88" s="6"/>
      <c r="K88" s="6"/>
    </row>
    <row r="89" spans="1:11" x14ac:dyDescent="0.25">
      <c r="A89" s="6"/>
      <c r="B89" s="6"/>
      <c r="C89" s="6"/>
      <c r="D89" s="6"/>
      <c r="E89" s="6"/>
      <c r="F89" s="10"/>
      <c r="G89" s="7"/>
      <c r="H89" s="11">
        <f t="shared" si="4"/>
        <v>0</v>
      </c>
      <c r="I89" s="12">
        <f t="shared" si="5"/>
        <v>0</v>
      </c>
      <c r="J89" s="6"/>
      <c r="K89" s="6"/>
    </row>
    <row r="90" spans="1:11" x14ac:dyDescent="0.25">
      <c r="A90" s="6"/>
      <c r="B90" s="6"/>
      <c r="C90" s="6"/>
      <c r="D90" s="6"/>
      <c r="E90" s="6"/>
      <c r="F90" s="10"/>
      <c r="G90" s="7"/>
      <c r="H90" s="11">
        <f t="shared" si="4"/>
        <v>0</v>
      </c>
      <c r="I90" s="12">
        <f t="shared" si="5"/>
        <v>0</v>
      </c>
      <c r="J90" s="6"/>
      <c r="K90" s="6"/>
    </row>
    <row r="91" spans="1:11" x14ac:dyDescent="0.25">
      <c r="A91" s="6"/>
      <c r="B91" s="6"/>
      <c r="C91" s="6"/>
      <c r="D91" s="6"/>
      <c r="E91" s="6"/>
      <c r="F91" s="10"/>
      <c r="G91" s="7"/>
      <c r="H91" s="11">
        <f t="shared" si="4"/>
        <v>0</v>
      </c>
      <c r="I91" s="12">
        <f t="shared" si="5"/>
        <v>0</v>
      </c>
      <c r="J91" s="6"/>
      <c r="K91" s="6"/>
    </row>
    <row r="92" spans="1:11" x14ac:dyDescent="0.25">
      <c r="A92" s="6"/>
      <c r="B92" s="6"/>
      <c r="C92" s="6"/>
      <c r="D92" s="6"/>
      <c r="E92" s="6"/>
      <c r="F92" s="10"/>
      <c r="G92" s="7"/>
      <c r="H92" s="11">
        <f t="shared" si="4"/>
        <v>0</v>
      </c>
      <c r="I92" s="12">
        <f t="shared" si="5"/>
        <v>0</v>
      </c>
      <c r="J92" s="6"/>
      <c r="K92" s="6"/>
    </row>
    <row r="93" spans="1:11" x14ac:dyDescent="0.25">
      <c r="A93" s="6"/>
      <c r="B93" s="6"/>
      <c r="C93" s="6"/>
      <c r="D93" s="6"/>
      <c r="E93" s="6"/>
      <c r="F93" s="10"/>
      <c r="G93" s="7"/>
      <c r="H93" s="11">
        <f t="shared" si="4"/>
        <v>0</v>
      </c>
      <c r="I93" s="12">
        <f t="shared" si="5"/>
        <v>0</v>
      </c>
      <c r="J93" s="6"/>
      <c r="K93" s="6"/>
    </row>
    <row r="94" spans="1:11" x14ac:dyDescent="0.25">
      <c r="A94" s="6"/>
      <c r="B94" s="6"/>
      <c r="C94" s="6"/>
      <c r="D94" s="6"/>
      <c r="E94" s="6"/>
      <c r="F94" s="10"/>
      <c r="G94" s="7"/>
      <c r="H94" s="11">
        <f t="shared" si="4"/>
        <v>0</v>
      </c>
      <c r="I94" s="12">
        <f t="shared" si="5"/>
        <v>0</v>
      </c>
      <c r="J94" s="6"/>
      <c r="K94" s="6"/>
    </row>
    <row r="95" spans="1:11" x14ac:dyDescent="0.25">
      <c r="A95" s="6"/>
      <c r="B95" s="6"/>
      <c r="C95" s="6"/>
      <c r="D95" s="6"/>
      <c r="E95" s="6"/>
      <c r="F95" s="10"/>
      <c r="G95" s="7"/>
      <c r="H95" s="11">
        <f t="shared" si="4"/>
        <v>0</v>
      </c>
      <c r="I95" s="12">
        <f t="shared" si="5"/>
        <v>0</v>
      </c>
      <c r="J95" s="6"/>
      <c r="K95" s="6"/>
    </row>
    <row r="96" spans="1:11" x14ac:dyDescent="0.25">
      <c r="A96" s="6"/>
      <c r="B96" s="6"/>
      <c r="C96" s="6"/>
      <c r="D96" s="6"/>
      <c r="E96" s="6"/>
      <c r="F96" s="10"/>
      <c r="G96" s="7"/>
      <c r="H96" s="11">
        <f t="shared" si="4"/>
        <v>0</v>
      </c>
      <c r="I96" s="12">
        <f t="shared" si="5"/>
        <v>0</v>
      </c>
      <c r="J96" s="6"/>
      <c r="K96" s="6"/>
    </row>
    <row r="97" spans="1:11" x14ac:dyDescent="0.25">
      <c r="A97" s="6"/>
      <c r="B97" s="6"/>
      <c r="C97" s="6"/>
      <c r="D97" s="6"/>
      <c r="E97" s="6"/>
      <c r="F97" s="10"/>
      <c r="G97" s="7"/>
      <c r="H97" s="11">
        <f t="shared" si="4"/>
        <v>0</v>
      </c>
      <c r="I97" s="12">
        <f t="shared" si="5"/>
        <v>0</v>
      </c>
      <c r="J97" s="6"/>
      <c r="K97" s="6"/>
    </row>
    <row r="98" spans="1:11" x14ac:dyDescent="0.25">
      <c r="A98" s="6"/>
      <c r="B98" s="6"/>
      <c r="C98" s="6"/>
      <c r="D98" s="6"/>
      <c r="E98" s="6"/>
      <c r="F98" s="10"/>
      <c r="G98" s="7"/>
      <c r="H98" s="11">
        <f t="shared" si="4"/>
        <v>0</v>
      </c>
      <c r="I98" s="12">
        <f t="shared" si="5"/>
        <v>0</v>
      </c>
      <c r="J98" s="6"/>
      <c r="K98" s="6"/>
    </row>
    <row r="99" spans="1:11" x14ac:dyDescent="0.25">
      <c r="A99" s="6"/>
      <c r="B99" s="6"/>
      <c r="C99" s="6"/>
      <c r="D99" s="6"/>
      <c r="E99" s="6"/>
      <c r="F99" s="10"/>
      <c r="G99" s="7"/>
      <c r="H99" s="11">
        <f t="shared" si="4"/>
        <v>0</v>
      </c>
      <c r="I99" s="12">
        <f t="shared" si="5"/>
        <v>0</v>
      </c>
      <c r="J99" s="6"/>
      <c r="K99" s="6"/>
    </row>
    <row r="100" spans="1:11" x14ac:dyDescent="0.25">
      <c r="A100" s="6"/>
      <c r="B100" s="6"/>
      <c r="C100" s="6"/>
      <c r="D100" s="6"/>
      <c r="E100" s="6"/>
      <c r="F100" s="10"/>
      <c r="G100" s="7"/>
      <c r="H100" s="11">
        <f t="shared" ref="H100:H103" si="6">F100*G100</f>
        <v>0</v>
      </c>
      <c r="I100" s="12">
        <f t="shared" ref="I100:I103" si="7">IFERROR(H100/SUM($H$4:$H$103),0)</f>
        <v>0</v>
      </c>
      <c r="J100" s="6"/>
      <c r="K100" s="6"/>
    </row>
    <row r="101" spans="1:11" x14ac:dyDescent="0.25">
      <c r="A101" s="6"/>
      <c r="B101" s="6"/>
      <c r="C101" s="6"/>
      <c r="D101" s="6"/>
      <c r="E101" s="6"/>
      <c r="F101" s="10"/>
      <c r="G101" s="7"/>
      <c r="H101" s="11">
        <f t="shared" si="6"/>
        <v>0</v>
      </c>
      <c r="I101" s="12">
        <f t="shared" si="7"/>
        <v>0</v>
      </c>
      <c r="J101" s="6"/>
      <c r="K101" s="6"/>
    </row>
    <row r="102" spans="1:11" x14ac:dyDescent="0.25">
      <c r="A102" s="6"/>
      <c r="B102" s="6"/>
      <c r="C102" s="6"/>
      <c r="D102" s="6"/>
      <c r="E102" s="6"/>
      <c r="F102" s="10"/>
      <c r="G102" s="7"/>
      <c r="H102" s="11">
        <f t="shared" si="6"/>
        <v>0</v>
      </c>
      <c r="I102" s="12">
        <f t="shared" si="7"/>
        <v>0</v>
      </c>
      <c r="J102" s="6"/>
      <c r="K102" s="6"/>
    </row>
    <row r="103" spans="1:11" x14ac:dyDescent="0.25">
      <c r="A103" s="6"/>
      <c r="B103" s="6"/>
      <c r="C103" s="6"/>
      <c r="D103" s="6"/>
      <c r="E103" s="6"/>
      <c r="F103" s="10"/>
      <c r="G103" s="7"/>
      <c r="H103" s="11">
        <f t="shared" si="6"/>
        <v>0</v>
      </c>
      <c r="I103" s="12">
        <f t="shared" si="7"/>
        <v>0</v>
      </c>
      <c r="J103" s="6"/>
      <c r="K103" s="6"/>
    </row>
    <row r="105" spans="1:11" x14ac:dyDescent="0.25">
      <c r="G105" s="13" t="s">
        <v>108</v>
      </c>
      <c r="H105" s="14">
        <f>SUM(H4:H103)</f>
        <v>132500</v>
      </c>
    </row>
  </sheetData>
  <dataValidations count="3">
    <dataValidation type="list"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xr:uid="{00000000-0002-0000-0200-000000000000}">
      <formula1>lstTiposItem</formula1>
    </dataValidation>
    <dataValidation type="list"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xr:uid="{00000000-0002-0000-0200-000001000000}">
      <formula1>lstUnidades</formula1>
    </dataValidation>
    <dataValidation type="list"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xr:uid="{00000000-0002-0000-0200-000002000000}">
      <formula1>lstResponsables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5"/>
  <sheetViews>
    <sheetView showGridLines="0" topLeftCell="D1" workbookViewId="0">
      <pane ySplit="3" topLeftCell="A4" activePane="bottomLeft" state="frozen"/>
      <selection pane="bottomLeft" activeCell="S17" sqref="S17"/>
    </sheetView>
  </sheetViews>
  <sheetFormatPr baseColWidth="10" defaultColWidth="9.140625" defaultRowHeight="15" x14ac:dyDescent="0.25"/>
  <cols>
    <col min="1" max="1" width="7" customWidth="1"/>
    <col min="2" max="2" width="12" customWidth="1"/>
    <col min="3" max="3" width="30" customWidth="1"/>
    <col min="4" max="4" width="10" customWidth="1"/>
    <col min="5" max="5" width="16" customWidth="1"/>
    <col min="6" max="6" width="14" customWidth="1"/>
    <col min="7" max="7" width="15" customWidth="1"/>
    <col min="8" max="9" width="12" customWidth="1"/>
    <col min="10" max="10" width="13" customWidth="1"/>
    <col min="11" max="11" width="18" customWidth="1"/>
    <col min="12" max="12" width="20" customWidth="1"/>
    <col min="13" max="14" width="18" customWidth="1"/>
    <col min="15" max="15" width="20" customWidth="1"/>
    <col min="16" max="16" width="15" customWidth="1"/>
    <col min="17" max="17" width="14" customWidth="1"/>
    <col min="18" max="18" width="22" customWidth="1"/>
    <col min="19" max="19" width="12" customWidth="1"/>
  </cols>
  <sheetData>
    <row r="1" spans="1:19" ht="18.75" x14ac:dyDescent="0.3">
      <c r="A1" s="1" t="s">
        <v>109</v>
      </c>
    </row>
    <row r="3" spans="1:19" ht="45" x14ac:dyDescent="0.25">
      <c r="A3" s="9" t="s">
        <v>69</v>
      </c>
      <c r="B3" s="9" t="s">
        <v>44</v>
      </c>
      <c r="C3" s="9" t="s">
        <v>21</v>
      </c>
      <c r="D3" s="9" t="s">
        <v>71</v>
      </c>
      <c r="E3" s="9" t="s">
        <v>72</v>
      </c>
      <c r="F3" s="9" t="s">
        <v>73</v>
      </c>
      <c r="G3" s="9" t="s">
        <v>53</v>
      </c>
      <c r="H3" s="9" t="s">
        <v>110</v>
      </c>
      <c r="I3" s="9" t="s">
        <v>111</v>
      </c>
      <c r="J3" s="9" t="s">
        <v>112</v>
      </c>
      <c r="K3" s="9" t="s">
        <v>113</v>
      </c>
      <c r="L3" s="9" t="s">
        <v>114</v>
      </c>
      <c r="M3" s="9" t="s">
        <v>115</v>
      </c>
      <c r="N3" s="9" t="s">
        <v>116</v>
      </c>
      <c r="O3" s="9" t="s">
        <v>117</v>
      </c>
      <c r="P3" s="9" t="s">
        <v>118</v>
      </c>
      <c r="Q3" s="9" t="s">
        <v>119</v>
      </c>
      <c r="R3" s="9" t="s">
        <v>77</v>
      </c>
      <c r="S3" t="s">
        <v>120</v>
      </c>
    </row>
    <row r="4" spans="1:19" x14ac:dyDescent="0.25">
      <c r="A4" s="15" t="str">
        <f>'PRESUPUESTO BASE'!A4</f>
        <v>1</v>
      </c>
      <c r="B4" s="15" t="str">
        <f>'PRESUPUESTO BASE'!B4</f>
        <v>ARQ-01</v>
      </c>
      <c r="C4" s="15" t="str">
        <f>'PRESUPUESTO BASE'!D4</f>
        <v>Demoliciones menores</v>
      </c>
      <c r="D4" s="15" t="str">
        <f>'PRESUPUESTO BASE'!E4</f>
        <v>m²</v>
      </c>
      <c r="E4" s="16">
        <f>'PRESUPUESTO BASE'!F4</f>
        <v>120</v>
      </c>
      <c r="F4" s="17">
        <f>'PRESUPUESTO BASE'!G4</f>
        <v>25</v>
      </c>
      <c r="G4" s="17">
        <f>'PRESUPUESTO BASE'!H4</f>
        <v>3000</v>
      </c>
      <c r="H4" s="18">
        <v>0.2</v>
      </c>
      <c r="I4" s="18">
        <v>0.15</v>
      </c>
      <c r="J4" s="12">
        <f t="shared" ref="J4:J35" si="0">MIN(1,H4+I4)</f>
        <v>0.35</v>
      </c>
      <c r="K4" s="19">
        <f t="shared" ref="K4:K35" si="1">E4*I4</f>
        <v>18</v>
      </c>
      <c r="L4" s="19">
        <f t="shared" ref="L4:L35" si="2">E4*J4</f>
        <v>42</v>
      </c>
      <c r="M4" s="11">
        <f t="shared" ref="M4:M35" si="3">G4*H4</f>
        <v>600</v>
      </c>
      <c r="N4" s="11">
        <f t="shared" ref="N4:N35" si="4">G4*I4</f>
        <v>450</v>
      </c>
      <c r="O4" s="11">
        <f t="shared" ref="O4:O35" si="5">G4*J4</f>
        <v>1050</v>
      </c>
      <c r="P4" s="11">
        <f t="shared" ref="P4:P35" si="6">G4-O4</f>
        <v>1950</v>
      </c>
      <c r="Q4" s="6" t="s">
        <v>8</v>
      </c>
      <c r="R4" s="6"/>
      <c r="S4">
        <f>IF(N4&gt;0,COUNTIF($N$4:N4,"&gt;0"),"")</f>
        <v>1</v>
      </c>
    </row>
    <row r="5" spans="1:19" x14ac:dyDescent="0.25">
      <c r="A5" s="15" t="str">
        <f>'PRESUPUESTO BASE'!A5</f>
        <v>2</v>
      </c>
      <c r="B5" s="15" t="str">
        <f>'PRESUPUESTO BASE'!B5</f>
        <v>ARQ-02</v>
      </c>
      <c r="C5" s="15" t="str">
        <f>'PRESUPUESTO BASE'!D5</f>
        <v>Tabiquería drywall</v>
      </c>
      <c r="D5" s="15" t="str">
        <f>'PRESUPUESTO BASE'!E5</f>
        <v>m²</v>
      </c>
      <c r="E5" s="16">
        <f>'PRESUPUESTO BASE'!F5</f>
        <v>180</v>
      </c>
      <c r="F5" s="17">
        <f>'PRESUPUESTO BASE'!G5</f>
        <v>95</v>
      </c>
      <c r="G5" s="17">
        <f>'PRESUPUESTO BASE'!H5</f>
        <v>17100</v>
      </c>
      <c r="H5" s="18">
        <v>0.1</v>
      </c>
      <c r="I5" s="18">
        <v>0.2</v>
      </c>
      <c r="J5" s="12">
        <f t="shared" si="0"/>
        <v>0.30000000000000004</v>
      </c>
      <c r="K5" s="19">
        <f t="shared" si="1"/>
        <v>36</v>
      </c>
      <c r="L5" s="19">
        <f t="shared" si="2"/>
        <v>54.000000000000007</v>
      </c>
      <c r="M5" s="11">
        <f t="shared" si="3"/>
        <v>1710</v>
      </c>
      <c r="N5" s="11">
        <f t="shared" si="4"/>
        <v>3420</v>
      </c>
      <c r="O5" s="11">
        <f t="shared" si="5"/>
        <v>5130.0000000000009</v>
      </c>
      <c r="P5" s="11">
        <f t="shared" si="6"/>
        <v>11970</v>
      </c>
      <c r="Q5" s="6" t="s">
        <v>8</v>
      </c>
      <c r="R5" s="6"/>
      <c r="S5">
        <f>IF(N5&gt;0,COUNTIF($N$4:N5,"&gt;0"),"")</f>
        <v>2</v>
      </c>
    </row>
    <row r="6" spans="1:19" x14ac:dyDescent="0.25">
      <c r="A6" s="15" t="str">
        <f>'PRESUPUESTO BASE'!A6</f>
        <v>3</v>
      </c>
      <c r="B6" s="15" t="str">
        <f>'PRESUPUESTO BASE'!B6</f>
        <v>ARQ-03</v>
      </c>
      <c r="C6" s="15" t="str">
        <f>'PRESUPUESTO BASE'!D6</f>
        <v>Cielorraso</v>
      </c>
      <c r="D6" s="15" t="str">
        <f>'PRESUPUESTO BASE'!E6</f>
        <v>m²</v>
      </c>
      <c r="E6" s="16">
        <f>'PRESUPUESTO BASE'!F6</f>
        <v>180</v>
      </c>
      <c r="F6" s="17">
        <f>'PRESUPUESTO BASE'!G6</f>
        <v>62</v>
      </c>
      <c r="G6" s="17">
        <f>'PRESUPUESTO BASE'!H6</f>
        <v>11160</v>
      </c>
      <c r="H6" s="18">
        <v>0</v>
      </c>
      <c r="I6" s="18">
        <v>0.1</v>
      </c>
      <c r="J6" s="12">
        <f t="shared" si="0"/>
        <v>0.1</v>
      </c>
      <c r="K6" s="19">
        <f t="shared" si="1"/>
        <v>18</v>
      </c>
      <c r="L6" s="19">
        <f t="shared" si="2"/>
        <v>18</v>
      </c>
      <c r="M6" s="11">
        <f t="shared" si="3"/>
        <v>0</v>
      </c>
      <c r="N6" s="11">
        <f t="shared" si="4"/>
        <v>1116</v>
      </c>
      <c r="O6" s="11">
        <f t="shared" si="5"/>
        <v>1116</v>
      </c>
      <c r="P6" s="11">
        <f t="shared" si="6"/>
        <v>10044</v>
      </c>
      <c r="Q6" s="6" t="s">
        <v>8</v>
      </c>
      <c r="R6" s="6"/>
      <c r="S6">
        <f>IF(N6&gt;0,COUNTIF($N$4:N6,"&gt;0"),"")</f>
        <v>3</v>
      </c>
    </row>
    <row r="7" spans="1:19" x14ac:dyDescent="0.25">
      <c r="A7" s="15" t="str">
        <f>'PRESUPUESTO BASE'!A7</f>
        <v>4</v>
      </c>
      <c r="B7" s="15" t="str">
        <f>'PRESUPUESTO BASE'!B7</f>
        <v>ARQ-04</v>
      </c>
      <c r="C7" s="15" t="str">
        <f>'PRESUPUESTO BASE'!D7</f>
        <v>Piso porcelanato</v>
      </c>
      <c r="D7" s="15" t="str">
        <f>'PRESUPUESTO BASE'!E7</f>
        <v>m²</v>
      </c>
      <c r="E7" s="16">
        <f>'PRESUPUESTO BASE'!F7</f>
        <v>220</v>
      </c>
      <c r="F7" s="17">
        <f>'PRESUPUESTO BASE'!G7</f>
        <v>118</v>
      </c>
      <c r="G7" s="17">
        <f>'PRESUPUESTO BASE'!H7</f>
        <v>25960</v>
      </c>
      <c r="H7" s="18">
        <v>0.15</v>
      </c>
      <c r="I7" s="18">
        <v>0.15</v>
      </c>
      <c r="J7" s="12">
        <f t="shared" si="0"/>
        <v>0.3</v>
      </c>
      <c r="K7" s="19">
        <f t="shared" si="1"/>
        <v>33</v>
      </c>
      <c r="L7" s="19">
        <f t="shared" si="2"/>
        <v>66</v>
      </c>
      <c r="M7" s="11">
        <f t="shared" si="3"/>
        <v>3894</v>
      </c>
      <c r="N7" s="11">
        <f t="shared" si="4"/>
        <v>3894</v>
      </c>
      <c r="O7" s="11">
        <f t="shared" si="5"/>
        <v>7788</v>
      </c>
      <c r="P7" s="11">
        <f t="shared" si="6"/>
        <v>18172</v>
      </c>
      <c r="Q7" s="6" t="s">
        <v>8</v>
      </c>
      <c r="R7" s="6"/>
      <c r="S7">
        <f>IF(N7&gt;0,COUNTIF($N$4:N7,"&gt;0"),"")</f>
        <v>4</v>
      </c>
    </row>
    <row r="8" spans="1:19" x14ac:dyDescent="0.25">
      <c r="A8" s="15" t="str">
        <f>'PRESUPUESTO BASE'!A8</f>
        <v>5</v>
      </c>
      <c r="B8" s="15" t="str">
        <f>'PRESUPUESTO BASE'!B8</f>
        <v>ARQ-05</v>
      </c>
      <c r="C8" s="15" t="str">
        <f>'PRESUPUESTO BASE'!D8</f>
        <v>Pintura general</v>
      </c>
      <c r="D8" s="15" t="str">
        <f>'PRESUPUESTO BASE'!E8</f>
        <v>m²</v>
      </c>
      <c r="E8" s="16">
        <f>'PRESUPUESTO BASE'!F8</f>
        <v>850</v>
      </c>
      <c r="F8" s="17">
        <f>'PRESUPUESTO BASE'!G8</f>
        <v>16</v>
      </c>
      <c r="G8" s="17">
        <f>'PRESUPUESTO BASE'!H8</f>
        <v>13600</v>
      </c>
      <c r="H8" s="18">
        <v>0</v>
      </c>
      <c r="I8" s="18">
        <v>0.3</v>
      </c>
      <c r="J8" s="12">
        <f t="shared" si="0"/>
        <v>0.3</v>
      </c>
      <c r="K8" s="19">
        <f t="shared" si="1"/>
        <v>255</v>
      </c>
      <c r="L8" s="19">
        <f t="shared" si="2"/>
        <v>255</v>
      </c>
      <c r="M8" s="11">
        <f t="shared" si="3"/>
        <v>0</v>
      </c>
      <c r="N8" s="11">
        <f t="shared" si="4"/>
        <v>4080</v>
      </c>
      <c r="O8" s="11">
        <f t="shared" si="5"/>
        <v>4080</v>
      </c>
      <c r="P8" s="11">
        <f t="shared" si="6"/>
        <v>9520</v>
      </c>
      <c r="Q8" s="6" t="s">
        <v>8</v>
      </c>
      <c r="R8" s="6"/>
      <c r="S8">
        <f>IF(N8&gt;0,COUNTIF($N$4:N8,"&gt;0"),"")</f>
        <v>5</v>
      </c>
    </row>
    <row r="9" spans="1:19" x14ac:dyDescent="0.25">
      <c r="A9" s="15" t="str">
        <f>'PRESUPUESTO BASE'!A9</f>
        <v>6</v>
      </c>
      <c r="B9" s="15" t="str">
        <f>'PRESUPUESTO BASE'!B9</f>
        <v>ELE-01</v>
      </c>
      <c r="C9" s="15" t="str">
        <f>'PRESUPUESTO BASE'!D9</f>
        <v>Red eléctrica</v>
      </c>
      <c r="D9" s="15" t="str">
        <f>'PRESUPUESTO BASE'!E9</f>
        <v>gl</v>
      </c>
      <c r="E9" s="16">
        <f>'PRESUPUESTO BASE'!F9</f>
        <v>1</v>
      </c>
      <c r="F9" s="17">
        <f>'PRESUPUESTO BASE'!G9</f>
        <v>18500</v>
      </c>
      <c r="G9" s="17">
        <f>'PRESUPUESTO BASE'!H9</f>
        <v>18500</v>
      </c>
      <c r="H9" s="18">
        <v>0.25</v>
      </c>
      <c r="I9" s="18">
        <v>0.15</v>
      </c>
      <c r="J9" s="12">
        <f t="shared" si="0"/>
        <v>0.4</v>
      </c>
      <c r="K9" s="19">
        <f t="shared" si="1"/>
        <v>0.15</v>
      </c>
      <c r="L9" s="19">
        <f t="shared" si="2"/>
        <v>0.4</v>
      </c>
      <c r="M9" s="11">
        <f t="shared" si="3"/>
        <v>4625</v>
      </c>
      <c r="N9" s="11">
        <f t="shared" si="4"/>
        <v>2775</v>
      </c>
      <c r="O9" s="11">
        <f t="shared" si="5"/>
        <v>7400</v>
      </c>
      <c r="P9" s="11">
        <f t="shared" si="6"/>
        <v>11100</v>
      </c>
      <c r="Q9" s="6" t="s">
        <v>8</v>
      </c>
      <c r="R9" s="6"/>
      <c r="S9">
        <f>IF(N9&gt;0,COUNTIF($N$4:N9,"&gt;0"),"")</f>
        <v>6</v>
      </c>
    </row>
    <row r="10" spans="1:19" x14ac:dyDescent="0.25">
      <c r="A10" s="15" t="str">
        <f>'PRESUPUESTO BASE'!A10</f>
        <v>7</v>
      </c>
      <c r="B10" s="15" t="str">
        <f>'PRESUPUESTO BASE'!B10</f>
        <v>SAN-01</v>
      </c>
      <c r="C10" s="15" t="str">
        <f>'PRESUPUESTO BASE'!D10</f>
        <v>Adecuación sanitaria</v>
      </c>
      <c r="D10" s="15" t="str">
        <f>'PRESUPUESTO BASE'!E10</f>
        <v>gl</v>
      </c>
      <c r="E10" s="16">
        <f>'PRESUPUESTO BASE'!F10</f>
        <v>1</v>
      </c>
      <c r="F10" s="17">
        <f>'PRESUPUESTO BASE'!G10</f>
        <v>9200</v>
      </c>
      <c r="G10" s="17">
        <f>'PRESUPUESTO BASE'!H10</f>
        <v>9200</v>
      </c>
      <c r="H10" s="18">
        <v>0</v>
      </c>
      <c r="I10" s="18">
        <v>0.2</v>
      </c>
      <c r="J10" s="12">
        <f t="shared" si="0"/>
        <v>0.2</v>
      </c>
      <c r="K10" s="19">
        <f t="shared" si="1"/>
        <v>0.2</v>
      </c>
      <c r="L10" s="19">
        <f t="shared" si="2"/>
        <v>0.2</v>
      </c>
      <c r="M10" s="11">
        <f t="shared" si="3"/>
        <v>0</v>
      </c>
      <c r="N10" s="11">
        <f t="shared" si="4"/>
        <v>1840</v>
      </c>
      <c r="O10" s="11">
        <f t="shared" si="5"/>
        <v>1840</v>
      </c>
      <c r="P10" s="11">
        <f t="shared" si="6"/>
        <v>7360</v>
      </c>
      <c r="Q10" s="6" t="s">
        <v>8</v>
      </c>
      <c r="R10" s="6"/>
      <c r="S10">
        <f>IF(N10&gt;0,COUNTIF($N$4:N10,"&gt;0"),"")</f>
        <v>7</v>
      </c>
    </row>
    <row r="11" spans="1:19" x14ac:dyDescent="0.25">
      <c r="A11" s="15" t="str">
        <f>'PRESUPUESTO BASE'!A11</f>
        <v>8</v>
      </c>
      <c r="B11" s="15" t="str">
        <f>'PRESUPUESTO BASE'!B11</f>
        <v>MOB-01</v>
      </c>
      <c r="C11" s="15" t="str">
        <f>'PRESUPUESTO BASE'!D11</f>
        <v>Carpintería fija</v>
      </c>
      <c r="D11" s="15" t="str">
        <f>'PRESUPUESTO BASE'!E11</f>
        <v>gl</v>
      </c>
      <c r="E11" s="16">
        <f>'PRESUPUESTO BASE'!F11</f>
        <v>1</v>
      </c>
      <c r="F11" s="17">
        <f>'PRESUPUESTO BASE'!G11</f>
        <v>14800</v>
      </c>
      <c r="G11" s="17">
        <f>'PRESUPUESTO BASE'!H11</f>
        <v>14800</v>
      </c>
      <c r="H11" s="18">
        <v>0.1</v>
      </c>
      <c r="I11" s="18">
        <v>0.05</v>
      </c>
      <c r="J11" s="12">
        <f t="shared" si="0"/>
        <v>0.15000000000000002</v>
      </c>
      <c r="K11" s="19">
        <f t="shared" si="1"/>
        <v>0.05</v>
      </c>
      <c r="L11" s="19">
        <f t="shared" si="2"/>
        <v>0.15000000000000002</v>
      </c>
      <c r="M11" s="11">
        <f t="shared" si="3"/>
        <v>1480</v>
      </c>
      <c r="N11" s="11">
        <f t="shared" si="4"/>
        <v>740</v>
      </c>
      <c r="O11" s="11">
        <f t="shared" si="5"/>
        <v>2220.0000000000005</v>
      </c>
      <c r="P11" s="11">
        <f t="shared" si="6"/>
        <v>12580</v>
      </c>
      <c r="Q11" s="6" t="s">
        <v>8</v>
      </c>
      <c r="R11" s="6"/>
      <c r="S11">
        <f>IF(N11&gt;0,COUNTIF($N$4:N11,"&gt;0"),"")</f>
        <v>8</v>
      </c>
    </row>
    <row r="12" spans="1:19" x14ac:dyDescent="0.25">
      <c r="A12" s="15" t="str">
        <f>'PRESUPUESTO BASE'!A12</f>
        <v>9</v>
      </c>
      <c r="B12" s="15" t="str">
        <f>'PRESUPUESTO BASE'!B12</f>
        <v>VID-01</v>
      </c>
      <c r="C12" s="15" t="str">
        <f>'PRESUPUESTO BASE'!D12</f>
        <v>Mamparas y vidrio</v>
      </c>
      <c r="D12" s="15" t="str">
        <f>'PRESUPUESTO BASE'!E12</f>
        <v>m²</v>
      </c>
      <c r="E12" s="16">
        <f>'PRESUPUESTO BASE'!F12</f>
        <v>42</v>
      </c>
      <c r="F12" s="17">
        <f>'PRESUPUESTO BASE'!G12</f>
        <v>390</v>
      </c>
      <c r="G12" s="17">
        <f>'PRESUPUESTO BASE'!H12</f>
        <v>16380</v>
      </c>
      <c r="H12" s="18">
        <v>0</v>
      </c>
      <c r="I12" s="18">
        <v>0.25</v>
      </c>
      <c r="J12" s="12">
        <f t="shared" si="0"/>
        <v>0.25</v>
      </c>
      <c r="K12" s="19">
        <f t="shared" si="1"/>
        <v>10.5</v>
      </c>
      <c r="L12" s="19">
        <f t="shared" si="2"/>
        <v>10.5</v>
      </c>
      <c r="M12" s="11">
        <f t="shared" si="3"/>
        <v>0</v>
      </c>
      <c r="N12" s="11">
        <f t="shared" si="4"/>
        <v>4095</v>
      </c>
      <c r="O12" s="11">
        <f t="shared" si="5"/>
        <v>4095</v>
      </c>
      <c r="P12" s="11">
        <f t="shared" si="6"/>
        <v>12285</v>
      </c>
      <c r="Q12" s="6" t="s">
        <v>8</v>
      </c>
      <c r="R12" s="6"/>
      <c r="S12">
        <f>IF(N12&gt;0,COUNTIF($N$4:N12,"&gt;0"),"")</f>
        <v>9</v>
      </c>
    </row>
    <row r="13" spans="1:19" x14ac:dyDescent="0.25">
      <c r="A13" s="15" t="str">
        <f>'PRESUPUESTO BASE'!A13</f>
        <v>10</v>
      </c>
      <c r="B13" s="15" t="str">
        <f>'PRESUPUESTO BASE'!B13</f>
        <v>FIN-01</v>
      </c>
      <c r="C13" s="15" t="str">
        <f>'PRESUPUESTO BASE'!D13</f>
        <v>Limpieza y cierre</v>
      </c>
      <c r="D13" s="15" t="str">
        <f>'PRESUPUESTO BASE'!E13</f>
        <v>gl</v>
      </c>
      <c r="E13" s="16">
        <f>'PRESUPUESTO BASE'!F13</f>
        <v>1</v>
      </c>
      <c r="F13" s="17">
        <f>'PRESUPUESTO BASE'!G13</f>
        <v>2800</v>
      </c>
      <c r="G13" s="17">
        <f>'PRESUPUESTO BASE'!H13</f>
        <v>2800</v>
      </c>
      <c r="H13" s="18">
        <v>0</v>
      </c>
      <c r="I13" s="18">
        <v>0.4</v>
      </c>
      <c r="J13" s="12">
        <f t="shared" si="0"/>
        <v>0.4</v>
      </c>
      <c r="K13" s="19">
        <f t="shared" si="1"/>
        <v>0.4</v>
      </c>
      <c r="L13" s="19">
        <f t="shared" si="2"/>
        <v>0.4</v>
      </c>
      <c r="M13" s="11">
        <f t="shared" si="3"/>
        <v>0</v>
      </c>
      <c r="N13" s="11">
        <f t="shared" si="4"/>
        <v>1120</v>
      </c>
      <c r="O13" s="11">
        <f t="shared" si="5"/>
        <v>1120</v>
      </c>
      <c r="P13" s="11">
        <f t="shared" si="6"/>
        <v>1680</v>
      </c>
      <c r="Q13" s="6" t="s">
        <v>8</v>
      </c>
      <c r="R13" s="6"/>
      <c r="S13">
        <f>IF(N13&gt;0,COUNTIF($N$4:N13,"&gt;0"),"")</f>
        <v>10</v>
      </c>
    </row>
    <row r="14" spans="1:19" x14ac:dyDescent="0.25">
      <c r="A14" s="15">
        <f>'PRESUPUESTO BASE'!A14</f>
        <v>0</v>
      </c>
      <c r="B14" s="15">
        <f>'PRESUPUESTO BASE'!B14</f>
        <v>0</v>
      </c>
      <c r="C14" s="15">
        <f>'PRESUPUESTO BASE'!D14</f>
        <v>0</v>
      </c>
      <c r="D14" s="15">
        <f>'PRESUPUESTO BASE'!E14</f>
        <v>0</v>
      </c>
      <c r="E14" s="16">
        <f>'PRESUPUESTO BASE'!F14</f>
        <v>0</v>
      </c>
      <c r="F14" s="17">
        <f>'PRESUPUESTO BASE'!G14</f>
        <v>0</v>
      </c>
      <c r="G14" s="17">
        <f>'PRESUPUESTO BASE'!H14</f>
        <v>0</v>
      </c>
      <c r="H14" s="18"/>
      <c r="I14" s="18"/>
      <c r="J14" s="12">
        <f t="shared" si="0"/>
        <v>0</v>
      </c>
      <c r="K14" s="19">
        <f t="shared" si="1"/>
        <v>0</v>
      </c>
      <c r="L14" s="19">
        <f t="shared" si="2"/>
        <v>0</v>
      </c>
      <c r="M14" s="11">
        <f t="shared" si="3"/>
        <v>0</v>
      </c>
      <c r="N14" s="11">
        <f t="shared" si="4"/>
        <v>0</v>
      </c>
      <c r="O14" s="11">
        <f t="shared" si="5"/>
        <v>0</v>
      </c>
      <c r="P14" s="11">
        <f t="shared" si="6"/>
        <v>0</v>
      </c>
      <c r="Q14" s="6"/>
      <c r="R14" s="6"/>
      <c r="S14" t="str">
        <f>IF(N14&gt;0,COUNTIF($N$4:N14,"&gt;0"),"")</f>
        <v/>
      </c>
    </row>
    <row r="15" spans="1:19" x14ac:dyDescent="0.25">
      <c r="A15" s="15">
        <f>'PRESUPUESTO BASE'!A15</f>
        <v>0</v>
      </c>
      <c r="B15" s="15">
        <f>'PRESUPUESTO BASE'!B15</f>
        <v>0</v>
      </c>
      <c r="C15" s="15">
        <f>'PRESUPUESTO BASE'!D15</f>
        <v>0</v>
      </c>
      <c r="D15" s="15">
        <f>'PRESUPUESTO BASE'!E15</f>
        <v>0</v>
      </c>
      <c r="E15" s="16">
        <f>'PRESUPUESTO BASE'!F15</f>
        <v>0</v>
      </c>
      <c r="F15" s="17">
        <f>'PRESUPUESTO BASE'!G15</f>
        <v>0</v>
      </c>
      <c r="G15" s="17">
        <f>'PRESUPUESTO BASE'!H15</f>
        <v>0</v>
      </c>
      <c r="H15" s="18"/>
      <c r="I15" s="18"/>
      <c r="J15" s="12">
        <f t="shared" si="0"/>
        <v>0</v>
      </c>
      <c r="K15" s="19">
        <f t="shared" si="1"/>
        <v>0</v>
      </c>
      <c r="L15" s="19">
        <f t="shared" si="2"/>
        <v>0</v>
      </c>
      <c r="M15" s="11">
        <f t="shared" si="3"/>
        <v>0</v>
      </c>
      <c r="N15" s="11">
        <f t="shared" si="4"/>
        <v>0</v>
      </c>
      <c r="O15" s="11">
        <f t="shared" si="5"/>
        <v>0</v>
      </c>
      <c r="P15" s="11">
        <f t="shared" si="6"/>
        <v>0</v>
      </c>
      <c r="Q15" s="6"/>
      <c r="R15" s="6"/>
      <c r="S15" t="str">
        <f>IF(N15&gt;0,COUNTIF($N$4:N15,"&gt;0"),"")</f>
        <v/>
      </c>
    </row>
    <row r="16" spans="1:19" x14ac:dyDescent="0.25">
      <c r="A16" s="15">
        <f>'PRESUPUESTO BASE'!A16</f>
        <v>0</v>
      </c>
      <c r="B16" s="15">
        <f>'PRESUPUESTO BASE'!B16</f>
        <v>0</v>
      </c>
      <c r="C16" s="15">
        <f>'PRESUPUESTO BASE'!D16</f>
        <v>0</v>
      </c>
      <c r="D16" s="15">
        <f>'PRESUPUESTO BASE'!E16</f>
        <v>0</v>
      </c>
      <c r="E16" s="16">
        <f>'PRESUPUESTO BASE'!F16</f>
        <v>0</v>
      </c>
      <c r="F16" s="17">
        <f>'PRESUPUESTO BASE'!G16</f>
        <v>0</v>
      </c>
      <c r="G16" s="17">
        <f>'PRESUPUESTO BASE'!H16</f>
        <v>0</v>
      </c>
      <c r="H16" s="18"/>
      <c r="I16" s="18"/>
      <c r="J16" s="12">
        <f t="shared" si="0"/>
        <v>0</v>
      </c>
      <c r="K16" s="19">
        <f t="shared" si="1"/>
        <v>0</v>
      </c>
      <c r="L16" s="19">
        <f t="shared" si="2"/>
        <v>0</v>
      </c>
      <c r="M16" s="11">
        <f t="shared" si="3"/>
        <v>0</v>
      </c>
      <c r="N16" s="11">
        <f t="shared" si="4"/>
        <v>0</v>
      </c>
      <c r="O16" s="11">
        <f t="shared" si="5"/>
        <v>0</v>
      </c>
      <c r="P16" s="11">
        <f t="shared" si="6"/>
        <v>0</v>
      </c>
      <c r="Q16" s="6"/>
      <c r="R16" s="6"/>
      <c r="S16" t="str">
        <f>IF(N16&gt;0,COUNTIF($N$4:N16,"&gt;0"),"")</f>
        <v/>
      </c>
    </row>
    <row r="17" spans="1:19" x14ac:dyDescent="0.25">
      <c r="A17" s="15">
        <f>'PRESUPUESTO BASE'!A17</f>
        <v>0</v>
      </c>
      <c r="B17" s="15">
        <f>'PRESUPUESTO BASE'!B17</f>
        <v>0</v>
      </c>
      <c r="C17" s="15">
        <f>'PRESUPUESTO BASE'!D17</f>
        <v>0</v>
      </c>
      <c r="D17" s="15">
        <f>'PRESUPUESTO BASE'!E17</f>
        <v>0</v>
      </c>
      <c r="E17" s="16">
        <f>'PRESUPUESTO BASE'!F17</f>
        <v>0</v>
      </c>
      <c r="F17" s="17">
        <f>'PRESUPUESTO BASE'!G17</f>
        <v>0</v>
      </c>
      <c r="G17" s="17">
        <f>'PRESUPUESTO BASE'!H17</f>
        <v>0</v>
      </c>
      <c r="H17" s="18"/>
      <c r="I17" s="18"/>
      <c r="J17" s="12">
        <f t="shared" si="0"/>
        <v>0</v>
      </c>
      <c r="K17" s="19">
        <f t="shared" si="1"/>
        <v>0</v>
      </c>
      <c r="L17" s="19">
        <f t="shared" si="2"/>
        <v>0</v>
      </c>
      <c r="M17" s="11">
        <f t="shared" si="3"/>
        <v>0</v>
      </c>
      <c r="N17" s="11">
        <f t="shared" si="4"/>
        <v>0</v>
      </c>
      <c r="O17" s="11">
        <f t="shared" si="5"/>
        <v>0</v>
      </c>
      <c r="P17" s="11">
        <f t="shared" si="6"/>
        <v>0</v>
      </c>
      <c r="Q17" s="6"/>
      <c r="R17" s="6"/>
      <c r="S17" t="str">
        <f>IF(N17&gt;0,COUNTIF($N$4:N17,"&gt;0"),"")</f>
        <v/>
      </c>
    </row>
    <row r="18" spans="1:19" x14ac:dyDescent="0.25">
      <c r="A18" s="15">
        <f>'PRESUPUESTO BASE'!A18</f>
        <v>0</v>
      </c>
      <c r="B18" s="15">
        <f>'PRESUPUESTO BASE'!B18</f>
        <v>0</v>
      </c>
      <c r="C18" s="15">
        <f>'PRESUPUESTO BASE'!D18</f>
        <v>0</v>
      </c>
      <c r="D18" s="15">
        <f>'PRESUPUESTO BASE'!E18</f>
        <v>0</v>
      </c>
      <c r="E18" s="16">
        <f>'PRESUPUESTO BASE'!F18</f>
        <v>0</v>
      </c>
      <c r="F18" s="17">
        <f>'PRESUPUESTO BASE'!G18</f>
        <v>0</v>
      </c>
      <c r="G18" s="17">
        <f>'PRESUPUESTO BASE'!H18</f>
        <v>0</v>
      </c>
      <c r="H18" s="18"/>
      <c r="I18" s="18"/>
      <c r="J18" s="12">
        <f t="shared" si="0"/>
        <v>0</v>
      </c>
      <c r="K18" s="19">
        <f t="shared" si="1"/>
        <v>0</v>
      </c>
      <c r="L18" s="19">
        <f t="shared" si="2"/>
        <v>0</v>
      </c>
      <c r="M18" s="11">
        <f t="shared" si="3"/>
        <v>0</v>
      </c>
      <c r="N18" s="11">
        <f t="shared" si="4"/>
        <v>0</v>
      </c>
      <c r="O18" s="11">
        <f t="shared" si="5"/>
        <v>0</v>
      </c>
      <c r="P18" s="11">
        <f t="shared" si="6"/>
        <v>0</v>
      </c>
      <c r="Q18" s="6"/>
      <c r="R18" s="6"/>
      <c r="S18" t="str">
        <f>IF(N18&gt;0,COUNTIF($N$4:N18,"&gt;0"),"")</f>
        <v/>
      </c>
    </row>
    <row r="19" spans="1:19" x14ac:dyDescent="0.25">
      <c r="A19" s="15">
        <f>'PRESUPUESTO BASE'!A19</f>
        <v>0</v>
      </c>
      <c r="B19" s="15">
        <f>'PRESUPUESTO BASE'!B19</f>
        <v>0</v>
      </c>
      <c r="C19" s="15">
        <f>'PRESUPUESTO BASE'!D19</f>
        <v>0</v>
      </c>
      <c r="D19" s="15">
        <f>'PRESUPUESTO BASE'!E19</f>
        <v>0</v>
      </c>
      <c r="E19" s="16">
        <f>'PRESUPUESTO BASE'!F19</f>
        <v>0</v>
      </c>
      <c r="F19" s="17">
        <f>'PRESUPUESTO BASE'!G19</f>
        <v>0</v>
      </c>
      <c r="G19" s="17">
        <f>'PRESUPUESTO BASE'!H19</f>
        <v>0</v>
      </c>
      <c r="H19" s="18"/>
      <c r="I19" s="18"/>
      <c r="J19" s="12">
        <f t="shared" si="0"/>
        <v>0</v>
      </c>
      <c r="K19" s="19">
        <f t="shared" si="1"/>
        <v>0</v>
      </c>
      <c r="L19" s="19">
        <f t="shared" si="2"/>
        <v>0</v>
      </c>
      <c r="M19" s="11">
        <f t="shared" si="3"/>
        <v>0</v>
      </c>
      <c r="N19" s="11">
        <f t="shared" si="4"/>
        <v>0</v>
      </c>
      <c r="O19" s="11">
        <f t="shared" si="5"/>
        <v>0</v>
      </c>
      <c r="P19" s="11">
        <f t="shared" si="6"/>
        <v>0</v>
      </c>
      <c r="Q19" s="6"/>
      <c r="R19" s="6"/>
      <c r="S19" t="str">
        <f>IF(N19&gt;0,COUNTIF($N$4:N19,"&gt;0"),"")</f>
        <v/>
      </c>
    </row>
    <row r="20" spans="1:19" x14ac:dyDescent="0.25">
      <c r="A20" s="15">
        <f>'PRESUPUESTO BASE'!A20</f>
        <v>0</v>
      </c>
      <c r="B20" s="15">
        <f>'PRESUPUESTO BASE'!B20</f>
        <v>0</v>
      </c>
      <c r="C20" s="15">
        <f>'PRESUPUESTO BASE'!D20</f>
        <v>0</v>
      </c>
      <c r="D20" s="15">
        <f>'PRESUPUESTO BASE'!E20</f>
        <v>0</v>
      </c>
      <c r="E20" s="16">
        <f>'PRESUPUESTO BASE'!F20</f>
        <v>0</v>
      </c>
      <c r="F20" s="17">
        <f>'PRESUPUESTO BASE'!G20</f>
        <v>0</v>
      </c>
      <c r="G20" s="17">
        <f>'PRESUPUESTO BASE'!H20</f>
        <v>0</v>
      </c>
      <c r="H20" s="18"/>
      <c r="I20" s="18"/>
      <c r="J20" s="12">
        <f t="shared" si="0"/>
        <v>0</v>
      </c>
      <c r="K20" s="19">
        <f t="shared" si="1"/>
        <v>0</v>
      </c>
      <c r="L20" s="19">
        <f t="shared" si="2"/>
        <v>0</v>
      </c>
      <c r="M20" s="11">
        <f t="shared" si="3"/>
        <v>0</v>
      </c>
      <c r="N20" s="11">
        <f t="shared" si="4"/>
        <v>0</v>
      </c>
      <c r="O20" s="11">
        <f t="shared" si="5"/>
        <v>0</v>
      </c>
      <c r="P20" s="11">
        <f t="shared" si="6"/>
        <v>0</v>
      </c>
      <c r="Q20" s="6"/>
      <c r="R20" s="6"/>
      <c r="S20" t="str">
        <f>IF(N20&gt;0,COUNTIF($N$4:N20,"&gt;0"),"")</f>
        <v/>
      </c>
    </row>
    <row r="21" spans="1:19" x14ac:dyDescent="0.25">
      <c r="A21" s="15">
        <f>'PRESUPUESTO BASE'!A21</f>
        <v>0</v>
      </c>
      <c r="B21" s="15">
        <f>'PRESUPUESTO BASE'!B21</f>
        <v>0</v>
      </c>
      <c r="C21" s="15">
        <f>'PRESUPUESTO BASE'!D21</f>
        <v>0</v>
      </c>
      <c r="D21" s="15">
        <f>'PRESUPUESTO BASE'!E21</f>
        <v>0</v>
      </c>
      <c r="E21" s="16">
        <f>'PRESUPUESTO BASE'!F21</f>
        <v>0</v>
      </c>
      <c r="F21" s="17">
        <f>'PRESUPUESTO BASE'!G21</f>
        <v>0</v>
      </c>
      <c r="G21" s="17">
        <f>'PRESUPUESTO BASE'!H21</f>
        <v>0</v>
      </c>
      <c r="H21" s="18"/>
      <c r="I21" s="18"/>
      <c r="J21" s="12">
        <f t="shared" si="0"/>
        <v>0</v>
      </c>
      <c r="K21" s="19">
        <f t="shared" si="1"/>
        <v>0</v>
      </c>
      <c r="L21" s="19">
        <f t="shared" si="2"/>
        <v>0</v>
      </c>
      <c r="M21" s="11">
        <f t="shared" si="3"/>
        <v>0</v>
      </c>
      <c r="N21" s="11">
        <f t="shared" si="4"/>
        <v>0</v>
      </c>
      <c r="O21" s="11">
        <f t="shared" si="5"/>
        <v>0</v>
      </c>
      <c r="P21" s="11">
        <f t="shared" si="6"/>
        <v>0</v>
      </c>
      <c r="Q21" s="6"/>
      <c r="R21" s="6"/>
      <c r="S21" t="str">
        <f>IF(N21&gt;0,COUNTIF($N$4:N21,"&gt;0"),"")</f>
        <v/>
      </c>
    </row>
    <row r="22" spans="1:19" x14ac:dyDescent="0.25">
      <c r="A22" s="15">
        <f>'PRESUPUESTO BASE'!A22</f>
        <v>0</v>
      </c>
      <c r="B22" s="15">
        <f>'PRESUPUESTO BASE'!B22</f>
        <v>0</v>
      </c>
      <c r="C22" s="15">
        <f>'PRESUPUESTO BASE'!D22</f>
        <v>0</v>
      </c>
      <c r="D22" s="15">
        <f>'PRESUPUESTO BASE'!E22</f>
        <v>0</v>
      </c>
      <c r="E22" s="16">
        <f>'PRESUPUESTO BASE'!F22</f>
        <v>0</v>
      </c>
      <c r="F22" s="17">
        <f>'PRESUPUESTO BASE'!G22</f>
        <v>0</v>
      </c>
      <c r="G22" s="17">
        <f>'PRESUPUESTO BASE'!H22</f>
        <v>0</v>
      </c>
      <c r="H22" s="18"/>
      <c r="I22" s="18"/>
      <c r="J22" s="12">
        <f t="shared" si="0"/>
        <v>0</v>
      </c>
      <c r="K22" s="19">
        <f t="shared" si="1"/>
        <v>0</v>
      </c>
      <c r="L22" s="19">
        <f t="shared" si="2"/>
        <v>0</v>
      </c>
      <c r="M22" s="11">
        <f t="shared" si="3"/>
        <v>0</v>
      </c>
      <c r="N22" s="11">
        <f t="shared" si="4"/>
        <v>0</v>
      </c>
      <c r="O22" s="11">
        <f t="shared" si="5"/>
        <v>0</v>
      </c>
      <c r="P22" s="11">
        <f t="shared" si="6"/>
        <v>0</v>
      </c>
      <c r="Q22" s="6"/>
      <c r="R22" s="6"/>
      <c r="S22" t="str">
        <f>IF(N22&gt;0,COUNTIF($N$4:N22,"&gt;0"),"")</f>
        <v/>
      </c>
    </row>
    <row r="23" spans="1:19" x14ac:dyDescent="0.25">
      <c r="A23" s="15">
        <f>'PRESUPUESTO BASE'!A23</f>
        <v>0</v>
      </c>
      <c r="B23" s="15">
        <f>'PRESUPUESTO BASE'!B23</f>
        <v>0</v>
      </c>
      <c r="C23" s="15">
        <f>'PRESUPUESTO BASE'!D23</f>
        <v>0</v>
      </c>
      <c r="D23" s="15">
        <f>'PRESUPUESTO BASE'!E23</f>
        <v>0</v>
      </c>
      <c r="E23" s="16">
        <f>'PRESUPUESTO BASE'!F23</f>
        <v>0</v>
      </c>
      <c r="F23" s="17">
        <f>'PRESUPUESTO BASE'!G23</f>
        <v>0</v>
      </c>
      <c r="G23" s="17">
        <f>'PRESUPUESTO BASE'!H23</f>
        <v>0</v>
      </c>
      <c r="H23" s="18"/>
      <c r="I23" s="18"/>
      <c r="J23" s="12">
        <f t="shared" si="0"/>
        <v>0</v>
      </c>
      <c r="K23" s="19">
        <f t="shared" si="1"/>
        <v>0</v>
      </c>
      <c r="L23" s="19">
        <f t="shared" si="2"/>
        <v>0</v>
      </c>
      <c r="M23" s="11">
        <f t="shared" si="3"/>
        <v>0</v>
      </c>
      <c r="N23" s="11">
        <f t="shared" si="4"/>
        <v>0</v>
      </c>
      <c r="O23" s="11">
        <f t="shared" si="5"/>
        <v>0</v>
      </c>
      <c r="P23" s="11">
        <f t="shared" si="6"/>
        <v>0</v>
      </c>
      <c r="Q23" s="6"/>
      <c r="R23" s="6"/>
      <c r="S23" t="str">
        <f>IF(N23&gt;0,COUNTIF($N$4:N23,"&gt;0"),"")</f>
        <v/>
      </c>
    </row>
    <row r="24" spans="1:19" x14ac:dyDescent="0.25">
      <c r="A24" s="15">
        <f>'PRESUPUESTO BASE'!A24</f>
        <v>0</v>
      </c>
      <c r="B24" s="15">
        <f>'PRESUPUESTO BASE'!B24</f>
        <v>0</v>
      </c>
      <c r="C24" s="15">
        <f>'PRESUPUESTO BASE'!D24</f>
        <v>0</v>
      </c>
      <c r="D24" s="15">
        <f>'PRESUPUESTO BASE'!E24</f>
        <v>0</v>
      </c>
      <c r="E24" s="16">
        <f>'PRESUPUESTO BASE'!F24</f>
        <v>0</v>
      </c>
      <c r="F24" s="17">
        <f>'PRESUPUESTO BASE'!G24</f>
        <v>0</v>
      </c>
      <c r="G24" s="17">
        <f>'PRESUPUESTO BASE'!H24</f>
        <v>0</v>
      </c>
      <c r="H24" s="18"/>
      <c r="I24" s="18"/>
      <c r="J24" s="12">
        <f t="shared" si="0"/>
        <v>0</v>
      </c>
      <c r="K24" s="19">
        <f t="shared" si="1"/>
        <v>0</v>
      </c>
      <c r="L24" s="19">
        <f t="shared" si="2"/>
        <v>0</v>
      </c>
      <c r="M24" s="11">
        <f t="shared" si="3"/>
        <v>0</v>
      </c>
      <c r="N24" s="11">
        <f t="shared" si="4"/>
        <v>0</v>
      </c>
      <c r="O24" s="11">
        <f t="shared" si="5"/>
        <v>0</v>
      </c>
      <c r="P24" s="11">
        <f t="shared" si="6"/>
        <v>0</v>
      </c>
      <c r="Q24" s="6"/>
      <c r="R24" s="6"/>
      <c r="S24" t="str">
        <f>IF(N24&gt;0,COUNTIF($N$4:N24,"&gt;0"),"")</f>
        <v/>
      </c>
    </row>
    <row r="25" spans="1:19" x14ac:dyDescent="0.25">
      <c r="A25" s="15">
        <f>'PRESUPUESTO BASE'!A25</f>
        <v>0</v>
      </c>
      <c r="B25" s="15">
        <f>'PRESUPUESTO BASE'!B25</f>
        <v>0</v>
      </c>
      <c r="C25" s="15">
        <f>'PRESUPUESTO BASE'!D25</f>
        <v>0</v>
      </c>
      <c r="D25" s="15">
        <f>'PRESUPUESTO BASE'!E25</f>
        <v>0</v>
      </c>
      <c r="E25" s="16">
        <f>'PRESUPUESTO BASE'!F25</f>
        <v>0</v>
      </c>
      <c r="F25" s="17">
        <f>'PRESUPUESTO BASE'!G25</f>
        <v>0</v>
      </c>
      <c r="G25" s="17">
        <f>'PRESUPUESTO BASE'!H25</f>
        <v>0</v>
      </c>
      <c r="H25" s="18"/>
      <c r="I25" s="18"/>
      <c r="J25" s="12">
        <f t="shared" si="0"/>
        <v>0</v>
      </c>
      <c r="K25" s="19">
        <f t="shared" si="1"/>
        <v>0</v>
      </c>
      <c r="L25" s="19">
        <f t="shared" si="2"/>
        <v>0</v>
      </c>
      <c r="M25" s="11">
        <f t="shared" si="3"/>
        <v>0</v>
      </c>
      <c r="N25" s="11">
        <f t="shared" si="4"/>
        <v>0</v>
      </c>
      <c r="O25" s="11">
        <f t="shared" si="5"/>
        <v>0</v>
      </c>
      <c r="P25" s="11">
        <f t="shared" si="6"/>
        <v>0</v>
      </c>
      <c r="Q25" s="6"/>
      <c r="R25" s="6"/>
      <c r="S25" t="str">
        <f>IF(N25&gt;0,COUNTIF($N$4:N25,"&gt;0"),"")</f>
        <v/>
      </c>
    </row>
    <row r="26" spans="1:19" x14ac:dyDescent="0.25">
      <c r="A26" s="15">
        <f>'PRESUPUESTO BASE'!A26</f>
        <v>0</v>
      </c>
      <c r="B26" s="15">
        <f>'PRESUPUESTO BASE'!B26</f>
        <v>0</v>
      </c>
      <c r="C26" s="15">
        <f>'PRESUPUESTO BASE'!D26</f>
        <v>0</v>
      </c>
      <c r="D26" s="15">
        <f>'PRESUPUESTO BASE'!E26</f>
        <v>0</v>
      </c>
      <c r="E26" s="16">
        <f>'PRESUPUESTO BASE'!F26</f>
        <v>0</v>
      </c>
      <c r="F26" s="17">
        <f>'PRESUPUESTO BASE'!G26</f>
        <v>0</v>
      </c>
      <c r="G26" s="17">
        <f>'PRESUPUESTO BASE'!H26</f>
        <v>0</v>
      </c>
      <c r="H26" s="18"/>
      <c r="I26" s="18"/>
      <c r="J26" s="12">
        <f t="shared" si="0"/>
        <v>0</v>
      </c>
      <c r="K26" s="19">
        <f t="shared" si="1"/>
        <v>0</v>
      </c>
      <c r="L26" s="19">
        <f t="shared" si="2"/>
        <v>0</v>
      </c>
      <c r="M26" s="11">
        <f t="shared" si="3"/>
        <v>0</v>
      </c>
      <c r="N26" s="11">
        <f t="shared" si="4"/>
        <v>0</v>
      </c>
      <c r="O26" s="11">
        <f t="shared" si="5"/>
        <v>0</v>
      </c>
      <c r="P26" s="11">
        <f t="shared" si="6"/>
        <v>0</v>
      </c>
      <c r="Q26" s="6"/>
      <c r="R26" s="6"/>
      <c r="S26" t="str">
        <f>IF(N26&gt;0,COUNTIF($N$4:N26,"&gt;0"),"")</f>
        <v/>
      </c>
    </row>
    <row r="27" spans="1:19" x14ac:dyDescent="0.25">
      <c r="A27" s="15">
        <f>'PRESUPUESTO BASE'!A27</f>
        <v>0</v>
      </c>
      <c r="B27" s="15">
        <f>'PRESUPUESTO BASE'!B27</f>
        <v>0</v>
      </c>
      <c r="C27" s="15">
        <f>'PRESUPUESTO BASE'!D27</f>
        <v>0</v>
      </c>
      <c r="D27" s="15">
        <f>'PRESUPUESTO BASE'!E27</f>
        <v>0</v>
      </c>
      <c r="E27" s="16">
        <f>'PRESUPUESTO BASE'!F27</f>
        <v>0</v>
      </c>
      <c r="F27" s="17">
        <f>'PRESUPUESTO BASE'!G27</f>
        <v>0</v>
      </c>
      <c r="G27" s="17">
        <f>'PRESUPUESTO BASE'!H27</f>
        <v>0</v>
      </c>
      <c r="H27" s="18"/>
      <c r="I27" s="18"/>
      <c r="J27" s="12">
        <f t="shared" si="0"/>
        <v>0</v>
      </c>
      <c r="K27" s="19">
        <f t="shared" si="1"/>
        <v>0</v>
      </c>
      <c r="L27" s="19">
        <f t="shared" si="2"/>
        <v>0</v>
      </c>
      <c r="M27" s="11">
        <f t="shared" si="3"/>
        <v>0</v>
      </c>
      <c r="N27" s="11">
        <f t="shared" si="4"/>
        <v>0</v>
      </c>
      <c r="O27" s="11">
        <f t="shared" si="5"/>
        <v>0</v>
      </c>
      <c r="P27" s="11">
        <f t="shared" si="6"/>
        <v>0</v>
      </c>
      <c r="Q27" s="6"/>
      <c r="R27" s="6"/>
      <c r="S27" t="str">
        <f>IF(N27&gt;0,COUNTIF($N$4:N27,"&gt;0"),"")</f>
        <v/>
      </c>
    </row>
    <row r="28" spans="1:19" x14ac:dyDescent="0.25">
      <c r="A28" s="15">
        <f>'PRESUPUESTO BASE'!A28</f>
        <v>0</v>
      </c>
      <c r="B28" s="15">
        <f>'PRESUPUESTO BASE'!B28</f>
        <v>0</v>
      </c>
      <c r="C28" s="15">
        <f>'PRESUPUESTO BASE'!D28</f>
        <v>0</v>
      </c>
      <c r="D28" s="15">
        <f>'PRESUPUESTO BASE'!E28</f>
        <v>0</v>
      </c>
      <c r="E28" s="16">
        <f>'PRESUPUESTO BASE'!F28</f>
        <v>0</v>
      </c>
      <c r="F28" s="17">
        <f>'PRESUPUESTO BASE'!G28</f>
        <v>0</v>
      </c>
      <c r="G28" s="17">
        <f>'PRESUPUESTO BASE'!H28</f>
        <v>0</v>
      </c>
      <c r="H28" s="18"/>
      <c r="I28" s="18"/>
      <c r="J28" s="12">
        <f t="shared" si="0"/>
        <v>0</v>
      </c>
      <c r="K28" s="19">
        <f t="shared" si="1"/>
        <v>0</v>
      </c>
      <c r="L28" s="19">
        <f t="shared" si="2"/>
        <v>0</v>
      </c>
      <c r="M28" s="11">
        <f t="shared" si="3"/>
        <v>0</v>
      </c>
      <c r="N28" s="11">
        <f t="shared" si="4"/>
        <v>0</v>
      </c>
      <c r="O28" s="11">
        <f t="shared" si="5"/>
        <v>0</v>
      </c>
      <c r="P28" s="11">
        <f t="shared" si="6"/>
        <v>0</v>
      </c>
      <c r="Q28" s="6"/>
      <c r="R28" s="6"/>
      <c r="S28" t="str">
        <f>IF(N28&gt;0,COUNTIF($N$4:N28,"&gt;0"),"")</f>
        <v/>
      </c>
    </row>
    <row r="29" spans="1:19" x14ac:dyDescent="0.25">
      <c r="A29" s="15">
        <f>'PRESUPUESTO BASE'!A29</f>
        <v>0</v>
      </c>
      <c r="B29" s="15">
        <f>'PRESUPUESTO BASE'!B29</f>
        <v>0</v>
      </c>
      <c r="C29" s="15">
        <f>'PRESUPUESTO BASE'!D29</f>
        <v>0</v>
      </c>
      <c r="D29" s="15">
        <f>'PRESUPUESTO BASE'!E29</f>
        <v>0</v>
      </c>
      <c r="E29" s="16">
        <f>'PRESUPUESTO BASE'!F29</f>
        <v>0</v>
      </c>
      <c r="F29" s="17">
        <f>'PRESUPUESTO BASE'!G29</f>
        <v>0</v>
      </c>
      <c r="G29" s="17">
        <f>'PRESUPUESTO BASE'!H29</f>
        <v>0</v>
      </c>
      <c r="H29" s="18"/>
      <c r="I29" s="18"/>
      <c r="J29" s="12">
        <f t="shared" si="0"/>
        <v>0</v>
      </c>
      <c r="K29" s="19">
        <f t="shared" si="1"/>
        <v>0</v>
      </c>
      <c r="L29" s="19">
        <f t="shared" si="2"/>
        <v>0</v>
      </c>
      <c r="M29" s="11">
        <f t="shared" si="3"/>
        <v>0</v>
      </c>
      <c r="N29" s="11">
        <f t="shared" si="4"/>
        <v>0</v>
      </c>
      <c r="O29" s="11">
        <f t="shared" si="5"/>
        <v>0</v>
      </c>
      <c r="P29" s="11">
        <f t="shared" si="6"/>
        <v>0</v>
      </c>
      <c r="Q29" s="6"/>
      <c r="R29" s="6"/>
      <c r="S29" t="str">
        <f>IF(N29&gt;0,COUNTIF($N$4:N29,"&gt;0"),"")</f>
        <v/>
      </c>
    </row>
    <row r="30" spans="1:19" x14ac:dyDescent="0.25">
      <c r="A30" s="15">
        <f>'PRESUPUESTO BASE'!A30</f>
        <v>0</v>
      </c>
      <c r="B30" s="15">
        <f>'PRESUPUESTO BASE'!B30</f>
        <v>0</v>
      </c>
      <c r="C30" s="15">
        <f>'PRESUPUESTO BASE'!D30</f>
        <v>0</v>
      </c>
      <c r="D30" s="15">
        <f>'PRESUPUESTO BASE'!E30</f>
        <v>0</v>
      </c>
      <c r="E30" s="16">
        <f>'PRESUPUESTO BASE'!F30</f>
        <v>0</v>
      </c>
      <c r="F30" s="17">
        <f>'PRESUPUESTO BASE'!G30</f>
        <v>0</v>
      </c>
      <c r="G30" s="17">
        <f>'PRESUPUESTO BASE'!H30</f>
        <v>0</v>
      </c>
      <c r="H30" s="18"/>
      <c r="I30" s="18"/>
      <c r="J30" s="12">
        <f t="shared" si="0"/>
        <v>0</v>
      </c>
      <c r="K30" s="19">
        <f t="shared" si="1"/>
        <v>0</v>
      </c>
      <c r="L30" s="19">
        <f t="shared" si="2"/>
        <v>0</v>
      </c>
      <c r="M30" s="11">
        <f t="shared" si="3"/>
        <v>0</v>
      </c>
      <c r="N30" s="11">
        <f t="shared" si="4"/>
        <v>0</v>
      </c>
      <c r="O30" s="11">
        <f t="shared" si="5"/>
        <v>0</v>
      </c>
      <c r="P30" s="11">
        <f t="shared" si="6"/>
        <v>0</v>
      </c>
      <c r="Q30" s="6"/>
      <c r="R30" s="6"/>
      <c r="S30" t="str">
        <f>IF(N30&gt;0,COUNTIF($N$4:N30,"&gt;0"),"")</f>
        <v/>
      </c>
    </row>
    <row r="31" spans="1:19" x14ac:dyDescent="0.25">
      <c r="A31" s="15">
        <f>'PRESUPUESTO BASE'!A31</f>
        <v>0</v>
      </c>
      <c r="B31" s="15">
        <f>'PRESUPUESTO BASE'!B31</f>
        <v>0</v>
      </c>
      <c r="C31" s="15">
        <f>'PRESUPUESTO BASE'!D31</f>
        <v>0</v>
      </c>
      <c r="D31" s="15">
        <f>'PRESUPUESTO BASE'!E31</f>
        <v>0</v>
      </c>
      <c r="E31" s="16">
        <f>'PRESUPUESTO BASE'!F31</f>
        <v>0</v>
      </c>
      <c r="F31" s="17">
        <f>'PRESUPUESTO BASE'!G31</f>
        <v>0</v>
      </c>
      <c r="G31" s="17">
        <f>'PRESUPUESTO BASE'!H31</f>
        <v>0</v>
      </c>
      <c r="H31" s="18"/>
      <c r="I31" s="18"/>
      <c r="J31" s="12">
        <f t="shared" si="0"/>
        <v>0</v>
      </c>
      <c r="K31" s="19">
        <f t="shared" si="1"/>
        <v>0</v>
      </c>
      <c r="L31" s="19">
        <f t="shared" si="2"/>
        <v>0</v>
      </c>
      <c r="M31" s="11">
        <f t="shared" si="3"/>
        <v>0</v>
      </c>
      <c r="N31" s="11">
        <f t="shared" si="4"/>
        <v>0</v>
      </c>
      <c r="O31" s="11">
        <f t="shared" si="5"/>
        <v>0</v>
      </c>
      <c r="P31" s="11">
        <f t="shared" si="6"/>
        <v>0</v>
      </c>
      <c r="Q31" s="6"/>
      <c r="R31" s="6"/>
      <c r="S31" t="str">
        <f>IF(N31&gt;0,COUNTIF($N$4:N31,"&gt;0"),"")</f>
        <v/>
      </c>
    </row>
    <row r="32" spans="1:19" x14ac:dyDescent="0.25">
      <c r="A32" s="15">
        <f>'PRESUPUESTO BASE'!A32</f>
        <v>0</v>
      </c>
      <c r="B32" s="15">
        <f>'PRESUPUESTO BASE'!B32</f>
        <v>0</v>
      </c>
      <c r="C32" s="15">
        <f>'PRESUPUESTO BASE'!D32</f>
        <v>0</v>
      </c>
      <c r="D32" s="15">
        <f>'PRESUPUESTO BASE'!E32</f>
        <v>0</v>
      </c>
      <c r="E32" s="16">
        <f>'PRESUPUESTO BASE'!F32</f>
        <v>0</v>
      </c>
      <c r="F32" s="17">
        <f>'PRESUPUESTO BASE'!G32</f>
        <v>0</v>
      </c>
      <c r="G32" s="17">
        <f>'PRESUPUESTO BASE'!H32</f>
        <v>0</v>
      </c>
      <c r="H32" s="18"/>
      <c r="I32" s="18"/>
      <c r="J32" s="12">
        <f t="shared" si="0"/>
        <v>0</v>
      </c>
      <c r="K32" s="19">
        <f t="shared" si="1"/>
        <v>0</v>
      </c>
      <c r="L32" s="19">
        <f t="shared" si="2"/>
        <v>0</v>
      </c>
      <c r="M32" s="11">
        <f t="shared" si="3"/>
        <v>0</v>
      </c>
      <c r="N32" s="11">
        <f t="shared" si="4"/>
        <v>0</v>
      </c>
      <c r="O32" s="11">
        <f t="shared" si="5"/>
        <v>0</v>
      </c>
      <c r="P32" s="11">
        <f t="shared" si="6"/>
        <v>0</v>
      </c>
      <c r="Q32" s="6"/>
      <c r="R32" s="6"/>
      <c r="S32" t="str">
        <f>IF(N32&gt;0,COUNTIF($N$4:N32,"&gt;0"),"")</f>
        <v/>
      </c>
    </row>
    <row r="33" spans="1:19" x14ac:dyDescent="0.25">
      <c r="A33" s="15">
        <f>'PRESUPUESTO BASE'!A33</f>
        <v>0</v>
      </c>
      <c r="B33" s="15">
        <f>'PRESUPUESTO BASE'!B33</f>
        <v>0</v>
      </c>
      <c r="C33" s="15">
        <f>'PRESUPUESTO BASE'!D33</f>
        <v>0</v>
      </c>
      <c r="D33" s="15">
        <f>'PRESUPUESTO BASE'!E33</f>
        <v>0</v>
      </c>
      <c r="E33" s="16">
        <f>'PRESUPUESTO BASE'!F33</f>
        <v>0</v>
      </c>
      <c r="F33" s="17">
        <f>'PRESUPUESTO BASE'!G33</f>
        <v>0</v>
      </c>
      <c r="G33" s="17">
        <f>'PRESUPUESTO BASE'!H33</f>
        <v>0</v>
      </c>
      <c r="H33" s="18"/>
      <c r="I33" s="18"/>
      <c r="J33" s="12">
        <f t="shared" si="0"/>
        <v>0</v>
      </c>
      <c r="K33" s="19">
        <f t="shared" si="1"/>
        <v>0</v>
      </c>
      <c r="L33" s="19">
        <f t="shared" si="2"/>
        <v>0</v>
      </c>
      <c r="M33" s="11">
        <f t="shared" si="3"/>
        <v>0</v>
      </c>
      <c r="N33" s="11">
        <f t="shared" si="4"/>
        <v>0</v>
      </c>
      <c r="O33" s="11">
        <f t="shared" si="5"/>
        <v>0</v>
      </c>
      <c r="P33" s="11">
        <f t="shared" si="6"/>
        <v>0</v>
      </c>
      <c r="Q33" s="6"/>
      <c r="R33" s="6"/>
      <c r="S33" t="str">
        <f>IF(N33&gt;0,COUNTIF($N$4:N33,"&gt;0"),"")</f>
        <v/>
      </c>
    </row>
    <row r="34" spans="1:19" x14ac:dyDescent="0.25">
      <c r="A34" s="15">
        <f>'PRESUPUESTO BASE'!A34</f>
        <v>0</v>
      </c>
      <c r="B34" s="15">
        <f>'PRESUPUESTO BASE'!B34</f>
        <v>0</v>
      </c>
      <c r="C34" s="15">
        <f>'PRESUPUESTO BASE'!D34</f>
        <v>0</v>
      </c>
      <c r="D34" s="15">
        <f>'PRESUPUESTO BASE'!E34</f>
        <v>0</v>
      </c>
      <c r="E34" s="16">
        <f>'PRESUPUESTO BASE'!F34</f>
        <v>0</v>
      </c>
      <c r="F34" s="17">
        <f>'PRESUPUESTO BASE'!G34</f>
        <v>0</v>
      </c>
      <c r="G34" s="17">
        <f>'PRESUPUESTO BASE'!H34</f>
        <v>0</v>
      </c>
      <c r="H34" s="18"/>
      <c r="I34" s="18"/>
      <c r="J34" s="12">
        <f t="shared" si="0"/>
        <v>0</v>
      </c>
      <c r="K34" s="19">
        <f t="shared" si="1"/>
        <v>0</v>
      </c>
      <c r="L34" s="19">
        <f t="shared" si="2"/>
        <v>0</v>
      </c>
      <c r="M34" s="11">
        <f t="shared" si="3"/>
        <v>0</v>
      </c>
      <c r="N34" s="11">
        <f t="shared" si="4"/>
        <v>0</v>
      </c>
      <c r="O34" s="11">
        <f t="shared" si="5"/>
        <v>0</v>
      </c>
      <c r="P34" s="11">
        <f t="shared" si="6"/>
        <v>0</v>
      </c>
      <c r="Q34" s="6"/>
      <c r="R34" s="6"/>
      <c r="S34" t="str">
        <f>IF(N34&gt;0,COUNTIF($N$4:N34,"&gt;0"),"")</f>
        <v/>
      </c>
    </row>
    <row r="35" spans="1:19" x14ac:dyDescent="0.25">
      <c r="A35" s="15">
        <f>'PRESUPUESTO BASE'!A35</f>
        <v>0</v>
      </c>
      <c r="B35" s="15">
        <f>'PRESUPUESTO BASE'!B35</f>
        <v>0</v>
      </c>
      <c r="C35" s="15">
        <f>'PRESUPUESTO BASE'!D35</f>
        <v>0</v>
      </c>
      <c r="D35" s="15">
        <f>'PRESUPUESTO BASE'!E35</f>
        <v>0</v>
      </c>
      <c r="E35" s="16">
        <f>'PRESUPUESTO BASE'!F35</f>
        <v>0</v>
      </c>
      <c r="F35" s="17">
        <f>'PRESUPUESTO BASE'!G35</f>
        <v>0</v>
      </c>
      <c r="G35" s="17">
        <f>'PRESUPUESTO BASE'!H35</f>
        <v>0</v>
      </c>
      <c r="H35" s="18"/>
      <c r="I35" s="18"/>
      <c r="J35" s="12">
        <f t="shared" si="0"/>
        <v>0</v>
      </c>
      <c r="K35" s="19">
        <f t="shared" si="1"/>
        <v>0</v>
      </c>
      <c r="L35" s="19">
        <f t="shared" si="2"/>
        <v>0</v>
      </c>
      <c r="M35" s="11">
        <f t="shared" si="3"/>
        <v>0</v>
      </c>
      <c r="N35" s="11">
        <f t="shared" si="4"/>
        <v>0</v>
      </c>
      <c r="O35" s="11">
        <f t="shared" si="5"/>
        <v>0</v>
      </c>
      <c r="P35" s="11">
        <f t="shared" si="6"/>
        <v>0</v>
      </c>
      <c r="Q35" s="6"/>
      <c r="R35" s="6"/>
      <c r="S35" t="str">
        <f>IF(N35&gt;0,COUNTIF($N$4:N35,"&gt;0"),"")</f>
        <v/>
      </c>
    </row>
    <row r="36" spans="1:19" x14ac:dyDescent="0.25">
      <c r="A36" s="15">
        <f>'PRESUPUESTO BASE'!A36</f>
        <v>0</v>
      </c>
      <c r="B36" s="15">
        <f>'PRESUPUESTO BASE'!B36</f>
        <v>0</v>
      </c>
      <c r="C36" s="15">
        <f>'PRESUPUESTO BASE'!D36</f>
        <v>0</v>
      </c>
      <c r="D36" s="15">
        <f>'PRESUPUESTO BASE'!E36</f>
        <v>0</v>
      </c>
      <c r="E36" s="16">
        <f>'PRESUPUESTO BASE'!F36</f>
        <v>0</v>
      </c>
      <c r="F36" s="17">
        <f>'PRESUPUESTO BASE'!G36</f>
        <v>0</v>
      </c>
      <c r="G36" s="17">
        <f>'PRESUPUESTO BASE'!H36</f>
        <v>0</v>
      </c>
      <c r="H36" s="18"/>
      <c r="I36" s="18"/>
      <c r="J36" s="12">
        <f t="shared" ref="J36:J67" si="7">MIN(1,H36+I36)</f>
        <v>0</v>
      </c>
      <c r="K36" s="19">
        <f t="shared" ref="K36:K67" si="8">E36*I36</f>
        <v>0</v>
      </c>
      <c r="L36" s="19">
        <f t="shared" ref="L36:L67" si="9">E36*J36</f>
        <v>0</v>
      </c>
      <c r="M36" s="11">
        <f t="shared" ref="M36:M67" si="10">G36*H36</f>
        <v>0</v>
      </c>
      <c r="N36" s="11">
        <f t="shared" ref="N36:N67" si="11">G36*I36</f>
        <v>0</v>
      </c>
      <c r="O36" s="11">
        <f t="shared" ref="O36:O67" si="12">G36*J36</f>
        <v>0</v>
      </c>
      <c r="P36" s="11">
        <f t="shared" ref="P36:P67" si="13">G36-O36</f>
        <v>0</v>
      </c>
      <c r="Q36" s="6"/>
      <c r="R36" s="6"/>
      <c r="S36" t="str">
        <f>IF(N36&gt;0,COUNTIF($N$4:N36,"&gt;0"),"")</f>
        <v/>
      </c>
    </row>
    <row r="37" spans="1:19" x14ac:dyDescent="0.25">
      <c r="A37" s="15">
        <f>'PRESUPUESTO BASE'!A37</f>
        <v>0</v>
      </c>
      <c r="B37" s="15">
        <f>'PRESUPUESTO BASE'!B37</f>
        <v>0</v>
      </c>
      <c r="C37" s="15">
        <f>'PRESUPUESTO BASE'!D37</f>
        <v>0</v>
      </c>
      <c r="D37" s="15">
        <f>'PRESUPUESTO BASE'!E37</f>
        <v>0</v>
      </c>
      <c r="E37" s="16">
        <f>'PRESUPUESTO BASE'!F37</f>
        <v>0</v>
      </c>
      <c r="F37" s="17">
        <f>'PRESUPUESTO BASE'!G37</f>
        <v>0</v>
      </c>
      <c r="G37" s="17">
        <f>'PRESUPUESTO BASE'!H37</f>
        <v>0</v>
      </c>
      <c r="H37" s="18"/>
      <c r="I37" s="18"/>
      <c r="J37" s="12">
        <f t="shared" si="7"/>
        <v>0</v>
      </c>
      <c r="K37" s="19">
        <f t="shared" si="8"/>
        <v>0</v>
      </c>
      <c r="L37" s="19">
        <f t="shared" si="9"/>
        <v>0</v>
      </c>
      <c r="M37" s="11">
        <f t="shared" si="10"/>
        <v>0</v>
      </c>
      <c r="N37" s="11">
        <f t="shared" si="11"/>
        <v>0</v>
      </c>
      <c r="O37" s="11">
        <f t="shared" si="12"/>
        <v>0</v>
      </c>
      <c r="P37" s="11">
        <f t="shared" si="13"/>
        <v>0</v>
      </c>
      <c r="Q37" s="6"/>
      <c r="R37" s="6"/>
      <c r="S37" t="str">
        <f>IF(N37&gt;0,COUNTIF($N$4:N37,"&gt;0"),"")</f>
        <v/>
      </c>
    </row>
    <row r="38" spans="1:19" x14ac:dyDescent="0.25">
      <c r="A38" s="15">
        <f>'PRESUPUESTO BASE'!A38</f>
        <v>0</v>
      </c>
      <c r="B38" s="15">
        <f>'PRESUPUESTO BASE'!B38</f>
        <v>0</v>
      </c>
      <c r="C38" s="15">
        <f>'PRESUPUESTO BASE'!D38</f>
        <v>0</v>
      </c>
      <c r="D38" s="15">
        <f>'PRESUPUESTO BASE'!E38</f>
        <v>0</v>
      </c>
      <c r="E38" s="16">
        <f>'PRESUPUESTO BASE'!F38</f>
        <v>0</v>
      </c>
      <c r="F38" s="17">
        <f>'PRESUPUESTO BASE'!G38</f>
        <v>0</v>
      </c>
      <c r="G38" s="17">
        <f>'PRESUPUESTO BASE'!H38</f>
        <v>0</v>
      </c>
      <c r="H38" s="18"/>
      <c r="I38" s="18"/>
      <c r="J38" s="12">
        <f t="shared" si="7"/>
        <v>0</v>
      </c>
      <c r="K38" s="19">
        <f t="shared" si="8"/>
        <v>0</v>
      </c>
      <c r="L38" s="19">
        <f t="shared" si="9"/>
        <v>0</v>
      </c>
      <c r="M38" s="11">
        <f t="shared" si="10"/>
        <v>0</v>
      </c>
      <c r="N38" s="11">
        <f t="shared" si="11"/>
        <v>0</v>
      </c>
      <c r="O38" s="11">
        <f t="shared" si="12"/>
        <v>0</v>
      </c>
      <c r="P38" s="11">
        <f t="shared" si="13"/>
        <v>0</v>
      </c>
      <c r="Q38" s="6"/>
      <c r="R38" s="6"/>
      <c r="S38" t="str">
        <f>IF(N38&gt;0,COUNTIF($N$4:N38,"&gt;0"),"")</f>
        <v/>
      </c>
    </row>
    <row r="39" spans="1:19" x14ac:dyDescent="0.25">
      <c r="A39" s="15">
        <f>'PRESUPUESTO BASE'!A39</f>
        <v>0</v>
      </c>
      <c r="B39" s="15">
        <f>'PRESUPUESTO BASE'!B39</f>
        <v>0</v>
      </c>
      <c r="C39" s="15">
        <f>'PRESUPUESTO BASE'!D39</f>
        <v>0</v>
      </c>
      <c r="D39" s="15">
        <f>'PRESUPUESTO BASE'!E39</f>
        <v>0</v>
      </c>
      <c r="E39" s="16">
        <f>'PRESUPUESTO BASE'!F39</f>
        <v>0</v>
      </c>
      <c r="F39" s="17">
        <f>'PRESUPUESTO BASE'!G39</f>
        <v>0</v>
      </c>
      <c r="G39" s="17">
        <f>'PRESUPUESTO BASE'!H39</f>
        <v>0</v>
      </c>
      <c r="H39" s="18"/>
      <c r="I39" s="18"/>
      <c r="J39" s="12">
        <f t="shared" si="7"/>
        <v>0</v>
      </c>
      <c r="K39" s="19">
        <f t="shared" si="8"/>
        <v>0</v>
      </c>
      <c r="L39" s="19">
        <f t="shared" si="9"/>
        <v>0</v>
      </c>
      <c r="M39" s="11">
        <f t="shared" si="10"/>
        <v>0</v>
      </c>
      <c r="N39" s="11">
        <f t="shared" si="11"/>
        <v>0</v>
      </c>
      <c r="O39" s="11">
        <f t="shared" si="12"/>
        <v>0</v>
      </c>
      <c r="P39" s="11">
        <f t="shared" si="13"/>
        <v>0</v>
      </c>
      <c r="Q39" s="6"/>
      <c r="R39" s="6"/>
      <c r="S39" t="str">
        <f>IF(N39&gt;0,COUNTIF($N$4:N39,"&gt;0"),"")</f>
        <v/>
      </c>
    </row>
    <row r="40" spans="1:19" x14ac:dyDescent="0.25">
      <c r="A40" s="15">
        <f>'PRESUPUESTO BASE'!A40</f>
        <v>0</v>
      </c>
      <c r="B40" s="15">
        <f>'PRESUPUESTO BASE'!B40</f>
        <v>0</v>
      </c>
      <c r="C40" s="15">
        <f>'PRESUPUESTO BASE'!D40</f>
        <v>0</v>
      </c>
      <c r="D40" s="15">
        <f>'PRESUPUESTO BASE'!E40</f>
        <v>0</v>
      </c>
      <c r="E40" s="16">
        <f>'PRESUPUESTO BASE'!F40</f>
        <v>0</v>
      </c>
      <c r="F40" s="17">
        <f>'PRESUPUESTO BASE'!G40</f>
        <v>0</v>
      </c>
      <c r="G40" s="17">
        <f>'PRESUPUESTO BASE'!H40</f>
        <v>0</v>
      </c>
      <c r="H40" s="18"/>
      <c r="I40" s="18"/>
      <c r="J40" s="12">
        <f t="shared" si="7"/>
        <v>0</v>
      </c>
      <c r="K40" s="19">
        <f t="shared" si="8"/>
        <v>0</v>
      </c>
      <c r="L40" s="19">
        <f t="shared" si="9"/>
        <v>0</v>
      </c>
      <c r="M40" s="11">
        <f t="shared" si="10"/>
        <v>0</v>
      </c>
      <c r="N40" s="11">
        <f t="shared" si="11"/>
        <v>0</v>
      </c>
      <c r="O40" s="11">
        <f t="shared" si="12"/>
        <v>0</v>
      </c>
      <c r="P40" s="11">
        <f t="shared" si="13"/>
        <v>0</v>
      </c>
      <c r="Q40" s="6"/>
      <c r="R40" s="6"/>
      <c r="S40" t="str">
        <f>IF(N40&gt;0,COUNTIF($N$4:N40,"&gt;0"),"")</f>
        <v/>
      </c>
    </row>
    <row r="41" spans="1:19" x14ac:dyDescent="0.25">
      <c r="A41" s="15">
        <f>'PRESUPUESTO BASE'!A41</f>
        <v>0</v>
      </c>
      <c r="B41" s="15">
        <f>'PRESUPUESTO BASE'!B41</f>
        <v>0</v>
      </c>
      <c r="C41" s="15">
        <f>'PRESUPUESTO BASE'!D41</f>
        <v>0</v>
      </c>
      <c r="D41" s="15">
        <f>'PRESUPUESTO BASE'!E41</f>
        <v>0</v>
      </c>
      <c r="E41" s="16">
        <f>'PRESUPUESTO BASE'!F41</f>
        <v>0</v>
      </c>
      <c r="F41" s="17">
        <f>'PRESUPUESTO BASE'!G41</f>
        <v>0</v>
      </c>
      <c r="G41" s="17">
        <f>'PRESUPUESTO BASE'!H41</f>
        <v>0</v>
      </c>
      <c r="H41" s="18"/>
      <c r="I41" s="18"/>
      <c r="J41" s="12">
        <f t="shared" si="7"/>
        <v>0</v>
      </c>
      <c r="K41" s="19">
        <f t="shared" si="8"/>
        <v>0</v>
      </c>
      <c r="L41" s="19">
        <f t="shared" si="9"/>
        <v>0</v>
      </c>
      <c r="M41" s="11">
        <f t="shared" si="10"/>
        <v>0</v>
      </c>
      <c r="N41" s="11">
        <f t="shared" si="11"/>
        <v>0</v>
      </c>
      <c r="O41" s="11">
        <f t="shared" si="12"/>
        <v>0</v>
      </c>
      <c r="P41" s="11">
        <f t="shared" si="13"/>
        <v>0</v>
      </c>
      <c r="Q41" s="6"/>
      <c r="R41" s="6"/>
      <c r="S41" t="str">
        <f>IF(N41&gt;0,COUNTIF($N$4:N41,"&gt;0"),"")</f>
        <v/>
      </c>
    </row>
    <row r="42" spans="1:19" x14ac:dyDescent="0.25">
      <c r="A42" s="15">
        <f>'PRESUPUESTO BASE'!A42</f>
        <v>0</v>
      </c>
      <c r="B42" s="15">
        <f>'PRESUPUESTO BASE'!B42</f>
        <v>0</v>
      </c>
      <c r="C42" s="15">
        <f>'PRESUPUESTO BASE'!D42</f>
        <v>0</v>
      </c>
      <c r="D42" s="15">
        <f>'PRESUPUESTO BASE'!E42</f>
        <v>0</v>
      </c>
      <c r="E42" s="16">
        <f>'PRESUPUESTO BASE'!F42</f>
        <v>0</v>
      </c>
      <c r="F42" s="17">
        <f>'PRESUPUESTO BASE'!G42</f>
        <v>0</v>
      </c>
      <c r="G42" s="17">
        <f>'PRESUPUESTO BASE'!H42</f>
        <v>0</v>
      </c>
      <c r="H42" s="18"/>
      <c r="I42" s="18"/>
      <c r="J42" s="12">
        <f t="shared" si="7"/>
        <v>0</v>
      </c>
      <c r="K42" s="19">
        <f t="shared" si="8"/>
        <v>0</v>
      </c>
      <c r="L42" s="19">
        <f t="shared" si="9"/>
        <v>0</v>
      </c>
      <c r="M42" s="11">
        <f t="shared" si="10"/>
        <v>0</v>
      </c>
      <c r="N42" s="11">
        <f t="shared" si="11"/>
        <v>0</v>
      </c>
      <c r="O42" s="11">
        <f t="shared" si="12"/>
        <v>0</v>
      </c>
      <c r="P42" s="11">
        <f t="shared" si="13"/>
        <v>0</v>
      </c>
      <c r="Q42" s="6"/>
      <c r="R42" s="6"/>
      <c r="S42" t="str">
        <f>IF(N42&gt;0,COUNTIF($N$4:N42,"&gt;0"),"")</f>
        <v/>
      </c>
    </row>
    <row r="43" spans="1:19" x14ac:dyDescent="0.25">
      <c r="A43" s="15">
        <f>'PRESUPUESTO BASE'!A43</f>
        <v>0</v>
      </c>
      <c r="B43" s="15">
        <f>'PRESUPUESTO BASE'!B43</f>
        <v>0</v>
      </c>
      <c r="C43" s="15">
        <f>'PRESUPUESTO BASE'!D43</f>
        <v>0</v>
      </c>
      <c r="D43" s="15">
        <f>'PRESUPUESTO BASE'!E43</f>
        <v>0</v>
      </c>
      <c r="E43" s="16">
        <f>'PRESUPUESTO BASE'!F43</f>
        <v>0</v>
      </c>
      <c r="F43" s="17">
        <f>'PRESUPUESTO BASE'!G43</f>
        <v>0</v>
      </c>
      <c r="G43" s="17">
        <f>'PRESUPUESTO BASE'!H43</f>
        <v>0</v>
      </c>
      <c r="H43" s="18"/>
      <c r="I43" s="18"/>
      <c r="J43" s="12">
        <f t="shared" si="7"/>
        <v>0</v>
      </c>
      <c r="K43" s="19">
        <f t="shared" si="8"/>
        <v>0</v>
      </c>
      <c r="L43" s="19">
        <f t="shared" si="9"/>
        <v>0</v>
      </c>
      <c r="M43" s="11">
        <f t="shared" si="10"/>
        <v>0</v>
      </c>
      <c r="N43" s="11">
        <f t="shared" si="11"/>
        <v>0</v>
      </c>
      <c r="O43" s="11">
        <f t="shared" si="12"/>
        <v>0</v>
      </c>
      <c r="P43" s="11">
        <f t="shared" si="13"/>
        <v>0</v>
      </c>
      <c r="Q43" s="6"/>
      <c r="R43" s="6"/>
      <c r="S43" t="str">
        <f>IF(N43&gt;0,COUNTIF($N$4:N43,"&gt;0"),"")</f>
        <v/>
      </c>
    </row>
    <row r="44" spans="1:19" x14ac:dyDescent="0.25">
      <c r="A44" s="15">
        <f>'PRESUPUESTO BASE'!A44</f>
        <v>0</v>
      </c>
      <c r="B44" s="15">
        <f>'PRESUPUESTO BASE'!B44</f>
        <v>0</v>
      </c>
      <c r="C44" s="15">
        <f>'PRESUPUESTO BASE'!D44</f>
        <v>0</v>
      </c>
      <c r="D44" s="15">
        <f>'PRESUPUESTO BASE'!E44</f>
        <v>0</v>
      </c>
      <c r="E44" s="16">
        <f>'PRESUPUESTO BASE'!F44</f>
        <v>0</v>
      </c>
      <c r="F44" s="17">
        <f>'PRESUPUESTO BASE'!G44</f>
        <v>0</v>
      </c>
      <c r="G44" s="17">
        <f>'PRESUPUESTO BASE'!H44</f>
        <v>0</v>
      </c>
      <c r="H44" s="18"/>
      <c r="I44" s="18"/>
      <c r="J44" s="12">
        <f t="shared" si="7"/>
        <v>0</v>
      </c>
      <c r="K44" s="19">
        <f t="shared" si="8"/>
        <v>0</v>
      </c>
      <c r="L44" s="19">
        <f t="shared" si="9"/>
        <v>0</v>
      </c>
      <c r="M44" s="11">
        <f t="shared" si="10"/>
        <v>0</v>
      </c>
      <c r="N44" s="11">
        <f t="shared" si="11"/>
        <v>0</v>
      </c>
      <c r="O44" s="11">
        <f t="shared" si="12"/>
        <v>0</v>
      </c>
      <c r="P44" s="11">
        <f t="shared" si="13"/>
        <v>0</v>
      </c>
      <c r="Q44" s="6"/>
      <c r="R44" s="6"/>
      <c r="S44" t="str">
        <f>IF(N44&gt;0,COUNTIF($N$4:N44,"&gt;0"),"")</f>
        <v/>
      </c>
    </row>
    <row r="45" spans="1:19" x14ac:dyDescent="0.25">
      <c r="A45" s="15">
        <f>'PRESUPUESTO BASE'!A45</f>
        <v>0</v>
      </c>
      <c r="B45" s="15">
        <f>'PRESUPUESTO BASE'!B45</f>
        <v>0</v>
      </c>
      <c r="C45" s="15">
        <f>'PRESUPUESTO BASE'!D45</f>
        <v>0</v>
      </c>
      <c r="D45" s="15">
        <f>'PRESUPUESTO BASE'!E45</f>
        <v>0</v>
      </c>
      <c r="E45" s="16">
        <f>'PRESUPUESTO BASE'!F45</f>
        <v>0</v>
      </c>
      <c r="F45" s="17">
        <f>'PRESUPUESTO BASE'!G45</f>
        <v>0</v>
      </c>
      <c r="G45" s="17">
        <f>'PRESUPUESTO BASE'!H45</f>
        <v>0</v>
      </c>
      <c r="H45" s="18"/>
      <c r="I45" s="18"/>
      <c r="J45" s="12">
        <f t="shared" si="7"/>
        <v>0</v>
      </c>
      <c r="K45" s="19">
        <f t="shared" si="8"/>
        <v>0</v>
      </c>
      <c r="L45" s="19">
        <f t="shared" si="9"/>
        <v>0</v>
      </c>
      <c r="M45" s="11">
        <f t="shared" si="10"/>
        <v>0</v>
      </c>
      <c r="N45" s="11">
        <f t="shared" si="11"/>
        <v>0</v>
      </c>
      <c r="O45" s="11">
        <f t="shared" si="12"/>
        <v>0</v>
      </c>
      <c r="P45" s="11">
        <f t="shared" si="13"/>
        <v>0</v>
      </c>
      <c r="Q45" s="6"/>
      <c r="R45" s="6"/>
      <c r="S45" t="str">
        <f>IF(N45&gt;0,COUNTIF($N$4:N45,"&gt;0"),"")</f>
        <v/>
      </c>
    </row>
    <row r="46" spans="1:19" x14ac:dyDescent="0.25">
      <c r="A46" s="15">
        <f>'PRESUPUESTO BASE'!A46</f>
        <v>0</v>
      </c>
      <c r="B46" s="15">
        <f>'PRESUPUESTO BASE'!B46</f>
        <v>0</v>
      </c>
      <c r="C46" s="15">
        <f>'PRESUPUESTO BASE'!D46</f>
        <v>0</v>
      </c>
      <c r="D46" s="15">
        <f>'PRESUPUESTO BASE'!E46</f>
        <v>0</v>
      </c>
      <c r="E46" s="16">
        <f>'PRESUPUESTO BASE'!F46</f>
        <v>0</v>
      </c>
      <c r="F46" s="17">
        <f>'PRESUPUESTO BASE'!G46</f>
        <v>0</v>
      </c>
      <c r="G46" s="17">
        <f>'PRESUPUESTO BASE'!H46</f>
        <v>0</v>
      </c>
      <c r="H46" s="18"/>
      <c r="I46" s="18"/>
      <c r="J46" s="12">
        <f t="shared" si="7"/>
        <v>0</v>
      </c>
      <c r="K46" s="19">
        <f t="shared" si="8"/>
        <v>0</v>
      </c>
      <c r="L46" s="19">
        <f t="shared" si="9"/>
        <v>0</v>
      </c>
      <c r="M46" s="11">
        <f t="shared" si="10"/>
        <v>0</v>
      </c>
      <c r="N46" s="11">
        <f t="shared" si="11"/>
        <v>0</v>
      </c>
      <c r="O46" s="11">
        <f t="shared" si="12"/>
        <v>0</v>
      </c>
      <c r="P46" s="11">
        <f t="shared" si="13"/>
        <v>0</v>
      </c>
      <c r="Q46" s="6"/>
      <c r="R46" s="6"/>
      <c r="S46" t="str">
        <f>IF(N46&gt;0,COUNTIF($N$4:N46,"&gt;0"),"")</f>
        <v/>
      </c>
    </row>
    <row r="47" spans="1:19" x14ac:dyDescent="0.25">
      <c r="A47" s="15">
        <f>'PRESUPUESTO BASE'!A47</f>
        <v>0</v>
      </c>
      <c r="B47" s="15">
        <f>'PRESUPUESTO BASE'!B47</f>
        <v>0</v>
      </c>
      <c r="C47" s="15">
        <f>'PRESUPUESTO BASE'!D47</f>
        <v>0</v>
      </c>
      <c r="D47" s="15">
        <f>'PRESUPUESTO BASE'!E47</f>
        <v>0</v>
      </c>
      <c r="E47" s="16">
        <f>'PRESUPUESTO BASE'!F47</f>
        <v>0</v>
      </c>
      <c r="F47" s="17">
        <f>'PRESUPUESTO BASE'!G47</f>
        <v>0</v>
      </c>
      <c r="G47" s="17">
        <f>'PRESUPUESTO BASE'!H47</f>
        <v>0</v>
      </c>
      <c r="H47" s="18"/>
      <c r="I47" s="18"/>
      <c r="J47" s="12">
        <f t="shared" si="7"/>
        <v>0</v>
      </c>
      <c r="K47" s="19">
        <f t="shared" si="8"/>
        <v>0</v>
      </c>
      <c r="L47" s="19">
        <f t="shared" si="9"/>
        <v>0</v>
      </c>
      <c r="M47" s="11">
        <f t="shared" si="10"/>
        <v>0</v>
      </c>
      <c r="N47" s="11">
        <f t="shared" si="11"/>
        <v>0</v>
      </c>
      <c r="O47" s="11">
        <f t="shared" si="12"/>
        <v>0</v>
      </c>
      <c r="P47" s="11">
        <f t="shared" si="13"/>
        <v>0</v>
      </c>
      <c r="Q47" s="6"/>
      <c r="R47" s="6"/>
      <c r="S47" t="str">
        <f>IF(N47&gt;0,COUNTIF($N$4:N47,"&gt;0"),"")</f>
        <v/>
      </c>
    </row>
    <row r="48" spans="1:19" x14ac:dyDescent="0.25">
      <c r="A48" s="15">
        <f>'PRESUPUESTO BASE'!A48</f>
        <v>0</v>
      </c>
      <c r="B48" s="15">
        <f>'PRESUPUESTO BASE'!B48</f>
        <v>0</v>
      </c>
      <c r="C48" s="15">
        <f>'PRESUPUESTO BASE'!D48</f>
        <v>0</v>
      </c>
      <c r="D48" s="15">
        <f>'PRESUPUESTO BASE'!E48</f>
        <v>0</v>
      </c>
      <c r="E48" s="16">
        <f>'PRESUPUESTO BASE'!F48</f>
        <v>0</v>
      </c>
      <c r="F48" s="17">
        <f>'PRESUPUESTO BASE'!G48</f>
        <v>0</v>
      </c>
      <c r="G48" s="17">
        <f>'PRESUPUESTO BASE'!H48</f>
        <v>0</v>
      </c>
      <c r="H48" s="18"/>
      <c r="I48" s="18"/>
      <c r="J48" s="12">
        <f t="shared" si="7"/>
        <v>0</v>
      </c>
      <c r="K48" s="19">
        <f t="shared" si="8"/>
        <v>0</v>
      </c>
      <c r="L48" s="19">
        <f t="shared" si="9"/>
        <v>0</v>
      </c>
      <c r="M48" s="11">
        <f t="shared" si="10"/>
        <v>0</v>
      </c>
      <c r="N48" s="11">
        <f t="shared" si="11"/>
        <v>0</v>
      </c>
      <c r="O48" s="11">
        <f t="shared" si="12"/>
        <v>0</v>
      </c>
      <c r="P48" s="11">
        <f t="shared" si="13"/>
        <v>0</v>
      </c>
      <c r="Q48" s="6"/>
      <c r="R48" s="6"/>
      <c r="S48" t="str">
        <f>IF(N48&gt;0,COUNTIF($N$4:N48,"&gt;0"),"")</f>
        <v/>
      </c>
    </row>
    <row r="49" spans="1:19" x14ac:dyDescent="0.25">
      <c r="A49" s="15">
        <f>'PRESUPUESTO BASE'!A49</f>
        <v>0</v>
      </c>
      <c r="B49" s="15">
        <f>'PRESUPUESTO BASE'!B49</f>
        <v>0</v>
      </c>
      <c r="C49" s="15">
        <f>'PRESUPUESTO BASE'!D49</f>
        <v>0</v>
      </c>
      <c r="D49" s="15">
        <f>'PRESUPUESTO BASE'!E49</f>
        <v>0</v>
      </c>
      <c r="E49" s="16">
        <f>'PRESUPUESTO BASE'!F49</f>
        <v>0</v>
      </c>
      <c r="F49" s="17">
        <f>'PRESUPUESTO BASE'!G49</f>
        <v>0</v>
      </c>
      <c r="G49" s="17">
        <f>'PRESUPUESTO BASE'!H49</f>
        <v>0</v>
      </c>
      <c r="H49" s="18"/>
      <c r="I49" s="18"/>
      <c r="J49" s="12">
        <f t="shared" si="7"/>
        <v>0</v>
      </c>
      <c r="K49" s="19">
        <f t="shared" si="8"/>
        <v>0</v>
      </c>
      <c r="L49" s="19">
        <f t="shared" si="9"/>
        <v>0</v>
      </c>
      <c r="M49" s="11">
        <f t="shared" si="10"/>
        <v>0</v>
      </c>
      <c r="N49" s="11">
        <f t="shared" si="11"/>
        <v>0</v>
      </c>
      <c r="O49" s="11">
        <f t="shared" si="12"/>
        <v>0</v>
      </c>
      <c r="P49" s="11">
        <f t="shared" si="13"/>
        <v>0</v>
      </c>
      <c r="Q49" s="6"/>
      <c r="R49" s="6"/>
      <c r="S49" t="str">
        <f>IF(N49&gt;0,COUNTIF($N$4:N49,"&gt;0"),"")</f>
        <v/>
      </c>
    </row>
    <row r="50" spans="1:19" x14ac:dyDescent="0.25">
      <c r="A50" s="15">
        <f>'PRESUPUESTO BASE'!A50</f>
        <v>0</v>
      </c>
      <c r="B50" s="15">
        <f>'PRESUPUESTO BASE'!B50</f>
        <v>0</v>
      </c>
      <c r="C50" s="15">
        <f>'PRESUPUESTO BASE'!D50</f>
        <v>0</v>
      </c>
      <c r="D50" s="15">
        <f>'PRESUPUESTO BASE'!E50</f>
        <v>0</v>
      </c>
      <c r="E50" s="16">
        <f>'PRESUPUESTO BASE'!F50</f>
        <v>0</v>
      </c>
      <c r="F50" s="17">
        <f>'PRESUPUESTO BASE'!G50</f>
        <v>0</v>
      </c>
      <c r="G50" s="17">
        <f>'PRESUPUESTO BASE'!H50</f>
        <v>0</v>
      </c>
      <c r="H50" s="18"/>
      <c r="I50" s="18"/>
      <c r="J50" s="12">
        <f t="shared" si="7"/>
        <v>0</v>
      </c>
      <c r="K50" s="19">
        <f t="shared" si="8"/>
        <v>0</v>
      </c>
      <c r="L50" s="19">
        <f t="shared" si="9"/>
        <v>0</v>
      </c>
      <c r="M50" s="11">
        <f t="shared" si="10"/>
        <v>0</v>
      </c>
      <c r="N50" s="11">
        <f t="shared" si="11"/>
        <v>0</v>
      </c>
      <c r="O50" s="11">
        <f t="shared" si="12"/>
        <v>0</v>
      </c>
      <c r="P50" s="11">
        <f t="shared" si="13"/>
        <v>0</v>
      </c>
      <c r="Q50" s="6"/>
      <c r="R50" s="6"/>
      <c r="S50" t="str">
        <f>IF(N50&gt;0,COUNTIF($N$4:N50,"&gt;0"),"")</f>
        <v/>
      </c>
    </row>
    <row r="51" spans="1:19" x14ac:dyDescent="0.25">
      <c r="A51" s="15">
        <f>'PRESUPUESTO BASE'!A51</f>
        <v>0</v>
      </c>
      <c r="B51" s="15">
        <f>'PRESUPUESTO BASE'!B51</f>
        <v>0</v>
      </c>
      <c r="C51" s="15">
        <f>'PRESUPUESTO BASE'!D51</f>
        <v>0</v>
      </c>
      <c r="D51" s="15">
        <f>'PRESUPUESTO BASE'!E51</f>
        <v>0</v>
      </c>
      <c r="E51" s="16">
        <f>'PRESUPUESTO BASE'!F51</f>
        <v>0</v>
      </c>
      <c r="F51" s="17">
        <f>'PRESUPUESTO BASE'!G51</f>
        <v>0</v>
      </c>
      <c r="G51" s="17">
        <f>'PRESUPUESTO BASE'!H51</f>
        <v>0</v>
      </c>
      <c r="H51" s="18"/>
      <c r="I51" s="18"/>
      <c r="J51" s="12">
        <f t="shared" si="7"/>
        <v>0</v>
      </c>
      <c r="K51" s="19">
        <f t="shared" si="8"/>
        <v>0</v>
      </c>
      <c r="L51" s="19">
        <f t="shared" si="9"/>
        <v>0</v>
      </c>
      <c r="M51" s="11">
        <f t="shared" si="10"/>
        <v>0</v>
      </c>
      <c r="N51" s="11">
        <f t="shared" si="11"/>
        <v>0</v>
      </c>
      <c r="O51" s="11">
        <f t="shared" si="12"/>
        <v>0</v>
      </c>
      <c r="P51" s="11">
        <f t="shared" si="13"/>
        <v>0</v>
      </c>
      <c r="Q51" s="6"/>
      <c r="R51" s="6"/>
      <c r="S51" t="str">
        <f>IF(N51&gt;0,COUNTIF($N$4:N51,"&gt;0"),"")</f>
        <v/>
      </c>
    </row>
    <row r="52" spans="1:19" x14ac:dyDescent="0.25">
      <c r="A52" s="15">
        <f>'PRESUPUESTO BASE'!A52</f>
        <v>0</v>
      </c>
      <c r="B52" s="15">
        <f>'PRESUPUESTO BASE'!B52</f>
        <v>0</v>
      </c>
      <c r="C52" s="15">
        <f>'PRESUPUESTO BASE'!D52</f>
        <v>0</v>
      </c>
      <c r="D52" s="15">
        <f>'PRESUPUESTO BASE'!E52</f>
        <v>0</v>
      </c>
      <c r="E52" s="16">
        <f>'PRESUPUESTO BASE'!F52</f>
        <v>0</v>
      </c>
      <c r="F52" s="17">
        <f>'PRESUPUESTO BASE'!G52</f>
        <v>0</v>
      </c>
      <c r="G52" s="17">
        <f>'PRESUPUESTO BASE'!H52</f>
        <v>0</v>
      </c>
      <c r="H52" s="18"/>
      <c r="I52" s="18"/>
      <c r="J52" s="12">
        <f t="shared" si="7"/>
        <v>0</v>
      </c>
      <c r="K52" s="19">
        <f t="shared" si="8"/>
        <v>0</v>
      </c>
      <c r="L52" s="19">
        <f t="shared" si="9"/>
        <v>0</v>
      </c>
      <c r="M52" s="11">
        <f t="shared" si="10"/>
        <v>0</v>
      </c>
      <c r="N52" s="11">
        <f t="shared" si="11"/>
        <v>0</v>
      </c>
      <c r="O52" s="11">
        <f t="shared" si="12"/>
        <v>0</v>
      </c>
      <c r="P52" s="11">
        <f t="shared" si="13"/>
        <v>0</v>
      </c>
      <c r="Q52" s="6"/>
      <c r="R52" s="6"/>
      <c r="S52" t="str">
        <f>IF(N52&gt;0,COUNTIF($N$4:N52,"&gt;0"),"")</f>
        <v/>
      </c>
    </row>
    <row r="53" spans="1:19" x14ac:dyDescent="0.25">
      <c r="A53" s="15">
        <f>'PRESUPUESTO BASE'!A53</f>
        <v>0</v>
      </c>
      <c r="B53" s="15">
        <f>'PRESUPUESTO BASE'!B53</f>
        <v>0</v>
      </c>
      <c r="C53" s="15">
        <f>'PRESUPUESTO BASE'!D53</f>
        <v>0</v>
      </c>
      <c r="D53" s="15">
        <f>'PRESUPUESTO BASE'!E53</f>
        <v>0</v>
      </c>
      <c r="E53" s="16">
        <f>'PRESUPUESTO BASE'!F53</f>
        <v>0</v>
      </c>
      <c r="F53" s="17">
        <f>'PRESUPUESTO BASE'!G53</f>
        <v>0</v>
      </c>
      <c r="G53" s="17">
        <f>'PRESUPUESTO BASE'!H53</f>
        <v>0</v>
      </c>
      <c r="H53" s="18"/>
      <c r="I53" s="18"/>
      <c r="J53" s="12">
        <f t="shared" si="7"/>
        <v>0</v>
      </c>
      <c r="K53" s="19">
        <f t="shared" si="8"/>
        <v>0</v>
      </c>
      <c r="L53" s="19">
        <f t="shared" si="9"/>
        <v>0</v>
      </c>
      <c r="M53" s="11">
        <f t="shared" si="10"/>
        <v>0</v>
      </c>
      <c r="N53" s="11">
        <f t="shared" si="11"/>
        <v>0</v>
      </c>
      <c r="O53" s="11">
        <f t="shared" si="12"/>
        <v>0</v>
      </c>
      <c r="P53" s="11">
        <f t="shared" si="13"/>
        <v>0</v>
      </c>
      <c r="Q53" s="6"/>
      <c r="R53" s="6"/>
      <c r="S53" t="str">
        <f>IF(N53&gt;0,COUNTIF($N$4:N53,"&gt;0"),"")</f>
        <v/>
      </c>
    </row>
    <row r="54" spans="1:19" x14ac:dyDescent="0.25">
      <c r="A54" s="15">
        <f>'PRESUPUESTO BASE'!A54</f>
        <v>0</v>
      </c>
      <c r="B54" s="15">
        <f>'PRESUPUESTO BASE'!B54</f>
        <v>0</v>
      </c>
      <c r="C54" s="15">
        <f>'PRESUPUESTO BASE'!D54</f>
        <v>0</v>
      </c>
      <c r="D54" s="15">
        <f>'PRESUPUESTO BASE'!E54</f>
        <v>0</v>
      </c>
      <c r="E54" s="16">
        <f>'PRESUPUESTO BASE'!F54</f>
        <v>0</v>
      </c>
      <c r="F54" s="17">
        <f>'PRESUPUESTO BASE'!G54</f>
        <v>0</v>
      </c>
      <c r="G54" s="17">
        <f>'PRESUPUESTO BASE'!H54</f>
        <v>0</v>
      </c>
      <c r="H54" s="18"/>
      <c r="I54" s="18"/>
      <c r="J54" s="12">
        <f t="shared" si="7"/>
        <v>0</v>
      </c>
      <c r="K54" s="19">
        <f t="shared" si="8"/>
        <v>0</v>
      </c>
      <c r="L54" s="19">
        <f t="shared" si="9"/>
        <v>0</v>
      </c>
      <c r="M54" s="11">
        <f t="shared" si="10"/>
        <v>0</v>
      </c>
      <c r="N54" s="11">
        <f t="shared" si="11"/>
        <v>0</v>
      </c>
      <c r="O54" s="11">
        <f t="shared" si="12"/>
        <v>0</v>
      </c>
      <c r="P54" s="11">
        <f t="shared" si="13"/>
        <v>0</v>
      </c>
      <c r="Q54" s="6"/>
      <c r="R54" s="6"/>
      <c r="S54" t="str">
        <f>IF(N54&gt;0,COUNTIF($N$4:N54,"&gt;0"),"")</f>
        <v/>
      </c>
    </row>
    <row r="55" spans="1:19" x14ac:dyDescent="0.25">
      <c r="A55" s="15">
        <f>'PRESUPUESTO BASE'!A55</f>
        <v>0</v>
      </c>
      <c r="B55" s="15">
        <f>'PRESUPUESTO BASE'!B55</f>
        <v>0</v>
      </c>
      <c r="C55" s="15">
        <f>'PRESUPUESTO BASE'!D55</f>
        <v>0</v>
      </c>
      <c r="D55" s="15">
        <f>'PRESUPUESTO BASE'!E55</f>
        <v>0</v>
      </c>
      <c r="E55" s="16">
        <f>'PRESUPUESTO BASE'!F55</f>
        <v>0</v>
      </c>
      <c r="F55" s="17">
        <f>'PRESUPUESTO BASE'!G55</f>
        <v>0</v>
      </c>
      <c r="G55" s="17">
        <f>'PRESUPUESTO BASE'!H55</f>
        <v>0</v>
      </c>
      <c r="H55" s="18"/>
      <c r="I55" s="18"/>
      <c r="J55" s="12">
        <f t="shared" si="7"/>
        <v>0</v>
      </c>
      <c r="K55" s="19">
        <f t="shared" si="8"/>
        <v>0</v>
      </c>
      <c r="L55" s="19">
        <f t="shared" si="9"/>
        <v>0</v>
      </c>
      <c r="M55" s="11">
        <f t="shared" si="10"/>
        <v>0</v>
      </c>
      <c r="N55" s="11">
        <f t="shared" si="11"/>
        <v>0</v>
      </c>
      <c r="O55" s="11">
        <f t="shared" si="12"/>
        <v>0</v>
      </c>
      <c r="P55" s="11">
        <f t="shared" si="13"/>
        <v>0</v>
      </c>
      <c r="Q55" s="6"/>
      <c r="R55" s="6"/>
      <c r="S55" t="str">
        <f>IF(N55&gt;0,COUNTIF($N$4:N55,"&gt;0"),"")</f>
        <v/>
      </c>
    </row>
    <row r="56" spans="1:19" x14ac:dyDescent="0.25">
      <c r="A56" s="15">
        <f>'PRESUPUESTO BASE'!A56</f>
        <v>0</v>
      </c>
      <c r="B56" s="15">
        <f>'PRESUPUESTO BASE'!B56</f>
        <v>0</v>
      </c>
      <c r="C56" s="15">
        <f>'PRESUPUESTO BASE'!D56</f>
        <v>0</v>
      </c>
      <c r="D56" s="15">
        <f>'PRESUPUESTO BASE'!E56</f>
        <v>0</v>
      </c>
      <c r="E56" s="16">
        <f>'PRESUPUESTO BASE'!F56</f>
        <v>0</v>
      </c>
      <c r="F56" s="17">
        <f>'PRESUPUESTO BASE'!G56</f>
        <v>0</v>
      </c>
      <c r="G56" s="17">
        <f>'PRESUPUESTO BASE'!H56</f>
        <v>0</v>
      </c>
      <c r="H56" s="18"/>
      <c r="I56" s="18"/>
      <c r="J56" s="12">
        <f t="shared" si="7"/>
        <v>0</v>
      </c>
      <c r="K56" s="19">
        <f t="shared" si="8"/>
        <v>0</v>
      </c>
      <c r="L56" s="19">
        <f t="shared" si="9"/>
        <v>0</v>
      </c>
      <c r="M56" s="11">
        <f t="shared" si="10"/>
        <v>0</v>
      </c>
      <c r="N56" s="11">
        <f t="shared" si="11"/>
        <v>0</v>
      </c>
      <c r="O56" s="11">
        <f t="shared" si="12"/>
        <v>0</v>
      </c>
      <c r="P56" s="11">
        <f t="shared" si="13"/>
        <v>0</v>
      </c>
      <c r="Q56" s="6"/>
      <c r="R56" s="6"/>
      <c r="S56" t="str">
        <f>IF(N56&gt;0,COUNTIF($N$4:N56,"&gt;0"),"")</f>
        <v/>
      </c>
    </row>
    <row r="57" spans="1:19" x14ac:dyDescent="0.25">
      <c r="A57" s="15">
        <f>'PRESUPUESTO BASE'!A57</f>
        <v>0</v>
      </c>
      <c r="B57" s="15">
        <f>'PRESUPUESTO BASE'!B57</f>
        <v>0</v>
      </c>
      <c r="C57" s="15">
        <f>'PRESUPUESTO BASE'!D57</f>
        <v>0</v>
      </c>
      <c r="D57" s="15">
        <f>'PRESUPUESTO BASE'!E57</f>
        <v>0</v>
      </c>
      <c r="E57" s="16">
        <f>'PRESUPUESTO BASE'!F57</f>
        <v>0</v>
      </c>
      <c r="F57" s="17">
        <f>'PRESUPUESTO BASE'!G57</f>
        <v>0</v>
      </c>
      <c r="G57" s="17">
        <f>'PRESUPUESTO BASE'!H57</f>
        <v>0</v>
      </c>
      <c r="H57" s="18"/>
      <c r="I57" s="18"/>
      <c r="J57" s="12">
        <f t="shared" si="7"/>
        <v>0</v>
      </c>
      <c r="K57" s="19">
        <f t="shared" si="8"/>
        <v>0</v>
      </c>
      <c r="L57" s="19">
        <f t="shared" si="9"/>
        <v>0</v>
      </c>
      <c r="M57" s="11">
        <f t="shared" si="10"/>
        <v>0</v>
      </c>
      <c r="N57" s="11">
        <f t="shared" si="11"/>
        <v>0</v>
      </c>
      <c r="O57" s="11">
        <f t="shared" si="12"/>
        <v>0</v>
      </c>
      <c r="P57" s="11">
        <f t="shared" si="13"/>
        <v>0</v>
      </c>
      <c r="Q57" s="6"/>
      <c r="R57" s="6"/>
      <c r="S57" t="str">
        <f>IF(N57&gt;0,COUNTIF($N$4:N57,"&gt;0"),"")</f>
        <v/>
      </c>
    </row>
    <row r="58" spans="1:19" x14ac:dyDescent="0.25">
      <c r="A58" s="15">
        <f>'PRESUPUESTO BASE'!A58</f>
        <v>0</v>
      </c>
      <c r="B58" s="15">
        <f>'PRESUPUESTO BASE'!B58</f>
        <v>0</v>
      </c>
      <c r="C58" s="15">
        <f>'PRESUPUESTO BASE'!D58</f>
        <v>0</v>
      </c>
      <c r="D58" s="15">
        <f>'PRESUPUESTO BASE'!E58</f>
        <v>0</v>
      </c>
      <c r="E58" s="16">
        <f>'PRESUPUESTO BASE'!F58</f>
        <v>0</v>
      </c>
      <c r="F58" s="17">
        <f>'PRESUPUESTO BASE'!G58</f>
        <v>0</v>
      </c>
      <c r="G58" s="17">
        <f>'PRESUPUESTO BASE'!H58</f>
        <v>0</v>
      </c>
      <c r="H58" s="18"/>
      <c r="I58" s="18"/>
      <c r="J58" s="12">
        <f t="shared" si="7"/>
        <v>0</v>
      </c>
      <c r="K58" s="19">
        <f t="shared" si="8"/>
        <v>0</v>
      </c>
      <c r="L58" s="19">
        <f t="shared" si="9"/>
        <v>0</v>
      </c>
      <c r="M58" s="11">
        <f t="shared" si="10"/>
        <v>0</v>
      </c>
      <c r="N58" s="11">
        <f t="shared" si="11"/>
        <v>0</v>
      </c>
      <c r="O58" s="11">
        <f t="shared" si="12"/>
        <v>0</v>
      </c>
      <c r="P58" s="11">
        <f t="shared" si="13"/>
        <v>0</v>
      </c>
      <c r="Q58" s="6"/>
      <c r="R58" s="6"/>
      <c r="S58" t="str">
        <f>IF(N58&gt;0,COUNTIF($N$4:N58,"&gt;0"),"")</f>
        <v/>
      </c>
    </row>
    <row r="59" spans="1:19" x14ac:dyDescent="0.25">
      <c r="A59" s="15">
        <f>'PRESUPUESTO BASE'!A59</f>
        <v>0</v>
      </c>
      <c r="B59" s="15">
        <f>'PRESUPUESTO BASE'!B59</f>
        <v>0</v>
      </c>
      <c r="C59" s="15">
        <f>'PRESUPUESTO BASE'!D59</f>
        <v>0</v>
      </c>
      <c r="D59" s="15">
        <f>'PRESUPUESTO BASE'!E59</f>
        <v>0</v>
      </c>
      <c r="E59" s="16">
        <f>'PRESUPUESTO BASE'!F59</f>
        <v>0</v>
      </c>
      <c r="F59" s="17">
        <f>'PRESUPUESTO BASE'!G59</f>
        <v>0</v>
      </c>
      <c r="G59" s="17">
        <f>'PRESUPUESTO BASE'!H59</f>
        <v>0</v>
      </c>
      <c r="H59" s="18"/>
      <c r="I59" s="18"/>
      <c r="J59" s="12">
        <f t="shared" si="7"/>
        <v>0</v>
      </c>
      <c r="K59" s="19">
        <f t="shared" si="8"/>
        <v>0</v>
      </c>
      <c r="L59" s="19">
        <f t="shared" si="9"/>
        <v>0</v>
      </c>
      <c r="M59" s="11">
        <f t="shared" si="10"/>
        <v>0</v>
      </c>
      <c r="N59" s="11">
        <f t="shared" si="11"/>
        <v>0</v>
      </c>
      <c r="O59" s="11">
        <f t="shared" si="12"/>
        <v>0</v>
      </c>
      <c r="P59" s="11">
        <f t="shared" si="13"/>
        <v>0</v>
      </c>
      <c r="Q59" s="6"/>
      <c r="R59" s="6"/>
      <c r="S59" t="str">
        <f>IF(N59&gt;0,COUNTIF($N$4:N59,"&gt;0"),"")</f>
        <v/>
      </c>
    </row>
    <row r="60" spans="1:19" x14ac:dyDescent="0.25">
      <c r="A60" s="15">
        <f>'PRESUPUESTO BASE'!A60</f>
        <v>0</v>
      </c>
      <c r="B60" s="15">
        <f>'PRESUPUESTO BASE'!B60</f>
        <v>0</v>
      </c>
      <c r="C60" s="15">
        <f>'PRESUPUESTO BASE'!D60</f>
        <v>0</v>
      </c>
      <c r="D60" s="15">
        <f>'PRESUPUESTO BASE'!E60</f>
        <v>0</v>
      </c>
      <c r="E60" s="16">
        <f>'PRESUPUESTO BASE'!F60</f>
        <v>0</v>
      </c>
      <c r="F60" s="17">
        <f>'PRESUPUESTO BASE'!G60</f>
        <v>0</v>
      </c>
      <c r="G60" s="17">
        <f>'PRESUPUESTO BASE'!H60</f>
        <v>0</v>
      </c>
      <c r="H60" s="18"/>
      <c r="I60" s="18"/>
      <c r="J60" s="12">
        <f t="shared" si="7"/>
        <v>0</v>
      </c>
      <c r="K60" s="19">
        <f t="shared" si="8"/>
        <v>0</v>
      </c>
      <c r="L60" s="19">
        <f t="shared" si="9"/>
        <v>0</v>
      </c>
      <c r="M60" s="11">
        <f t="shared" si="10"/>
        <v>0</v>
      </c>
      <c r="N60" s="11">
        <f t="shared" si="11"/>
        <v>0</v>
      </c>
      <c r="O60" s="11">
        <f t="shared" si="12"/>
        <v>0</v>
      </c>
      <c r="P60" s="11">
        <f t="shared" si="13"/>
        <v>0</v>
      </c>
      <c r="Q60" s="6"/>
      <c r="R60" s="6"/>
      <c r="S60" t="str">
        <f>IF(N60&gt;0,COUNTIF($N$4:N60,"&gt;0"),"")</f>
        <v/>
      </c>
    </row>
    <row r="61" spans="1:19" x14ac:dyDescent="0.25">
      <c r="A61" s="15">
        <f>'PRESUPUESTO BASE'!A61</f>
        <v>0</v>
      </c>
      <c r="B61" s="15">
        <f>'PRESUPUESTO BASE'!B61</f>
        <v>0</v>
      </c>
      <c r="C61" s="15">
        <f>'PRESUPUESTO BASE'!D61</f>
        <v>0</v>
      </c>
      <c r="D61" s="15">
        <f>'PRESUPUESTO BASE'!E61</f>
        <v>0</v>
      </c>
      <c r="E61" s="16">
        <f>'PRESUPUESTO BASE'!F61</f>
        <v>0</v>
      </c>
      <c r="F61" s="17">
        <f>'PRESUPUESTO BASE'!G61</f>
        <v>0</v>
      </c>
      <c r="G61" s="17">
        <f>'PRESUPUESTO BASE'!H61</f>
        <v>0</v>
      </c>
      <c r="H61" s="18"/>
      <c r="I61" s="18"/>
      <c r="J61" s="12">
        <f t="shared" si="7"/>
        <v>0</v>
      </c>
      <c r="K61" s="19">
        <f t="shared" si="8"/>
        <v>0</v>
      </c>
      <c r="L61" s="19">
        <f t="shared" si="9"/>
        <v>0</v>
      </c>
      <c r="M61" s="11">
        <f t="shared" si="10"/>
        <v>0</v>
      </c>
      <c r="N61" s="11">
        <f t="shared" si="11"/>
        <v>0</v>
      </c>
      <c r="O61" s="11">
        <f t="shared" si="12"/>
        <v>0</v>
      </c>
      <c r="P61" s="11">
        <f t="shared" si="13"/>
        <v>0</v>
      </c>
      <c r="Q61" s="6"/>
      <c r="R61" s="6"/>
      <c r="S61" t="str">
        <f>IF(N61&gt;0,COUNTIF($N$4:N61,"&gt;0"),"")</f>
        <v/>
      </c>
    </row>
    <row r="62" spans="1:19" x14ac:dyDescent="0.25">
      <c r="A62" s="15">
        <f>'PRESUPUESTO BASE'!A62</f>
        <v>0</v>
      </c>
      <c r="B62" s="15">
        <f>'PRESUPUESTO BASE'!B62</f>
        <v>0</v>
      </c>
      <c r="C62" s="15">
        <f>'PRESUPUESTO BASE'!D62</f>
        <v>0</v>
      </c>
      <c r="D62" s="15">
        <f>'PRESUPUESTO BASE'!E62</f>
        <v>0</v>
      </c>
      <c r="E62" s="16">
        <f>'PRESUPUESTO BASE'!F62</f>
        <v>0</v>
      </c>
      <c r="F62" s="17">
        <f>'PRESUPUESTO BASE'!G62</f>
        <v>0</v>
      </c>
      <c r="G62" s="17">
        <f>'PRESUPUESTO BASE'!H62</f>
        <v>0</v>
      </c>
      <c r="H62" s="18"/>
      <c r="I62" s="18"/>
      <c r="J62" s="12">
        <f t="shared" si="7"/>
        <v>0</v>
      </c>
      <c r="K62" s="19">
        <f t="shared" si="8"/>
        <v>0</v>
      </c>
      <c r="L62" s="19">
        <f t="shared" si="9"/>
        <v>0</v>
      </c>
      <c r="M62" s="11">
        <f t="shared" si="10"/>
        <v>0</v>
      </c>
      <c r="N62" s="11">
        <f t="shared" si="11"/>
        <v>0</v>
      </c>
      <c r="O62" s="11">
        <f t="shared" si="12"/>
        <v>0</v>
      </c>
      <c r="P62" s="11">
        <f t="shared" si="13"/>
        <v>0</v>
      </c>
      <c r="Q62" s="6"/>
      <c r="R62" s="6"/>
      <c r="S62" t="str">
        <f>IF(N62&gt;0,COUNTIF($N$4:N62,"&gt;0"),"")</f>
        <v/>
      </c>
    </row>
    <row r="63" spans="1:19" x14ac:dyDescent="0.25">
      <c r="A63" s="15">
        <f>'PRESUPUESTO BASE'!A63</f>
        <v>0</v>
      </c>
      <c r="B63" s="15">
        <f>'PRESUPUESTO BASE'!B63</f>
        <v>0</v>
      </c>
      <c r="C63" s="15">
        <f>'PRESUPUESTO BASE'!D63</f>
        <v>0</v>
      </c>
      <c r="D63" s="15">
        <f>'PRESUPUESTO BASE'!E63</f>
        <v>0</v>
      </c>
      <c r="E63" s="16">
        <f>'PRESUPUESTO BASE'!F63</f>
        <v>0</v>
      </c>
      <c r="F63" s="17">
        <f>'PRESUPUESTO BASE'!G63</f>
        <v>0</v>
      </c>
      <c r="G63" s="17">
        <f>'PRESUPUESTO BASE'!H63</f>
        <v>0</v>
      </c>
      <c r="H63" s="18"/>
      <c r="I63" s="18"/>
      <c r="J63" s="12">
        <f t="shared" si="7"/>
        <v>0</v>
      </c>
      <c r="K63" s="19">
        <f t="shared" si="8"/>
        <v>0</v>
      </c>
      <c r="L63" s="19">
        <f t="shared" si="9"/>
        <v>0</v>
      </c>
      <c r="M63" s="11">
        <f t="shared" si="10"/>
        <v>0</v>
      </c>
      <c r="N63" s="11">
        <f t="shared" si="11"/>
        <v>0</v>
      </c>
      <c r="O63" s="11">
        <f t="shared" si="12"/>
        <v>0</v>
      </c>
      <c r="P63" s="11">
        <f t="shared" si="13"/>
        <v>0</v>
      </c>
      <c r="Q63" s="6"/>
      <c r="R63" s="6"/>
      <c r="S63" t="str">
        <f>IF(N63&gt;0,COUNTIF($N$4:N63,"&gt;0"),"")</f>
        <v/>
      </c>
    </row>
    <row r="64" spans="1:19" x14ac:dyDescent="0.25">
      <c r="A64" s="15">
        <f>'PRESUPUESTO BASE'!A64</f>
        <v>0</v>
      </c>
      <c r="B64" s="15">
        <f>'PRESUPUESTO BASE'!B64</f>
        <v>0</v>
      </c>
      <c r="C64" s="15">
        <f>'PRESUPUESTO BASE'!D64</f>
        <v>0</v>
      </c>
      <c r="D64" s="15">
        <f>'PRESUPUESTO BASE'!E64</f>
        <v>0</v>
      </c>
      <c r="E64" s="16">
        <f>'PRESUPUESTO BASE'!F64</f>
        <v>0</v>
      </c>
      <c r="F64" s="17">
        <f>'PRESUPUESTO BASE'!G64</f>
        <v>0</v>
      </c>
      <c r="G64" s="17">
        <f>'PRESUPUESTO BASE'!H64</f>
        <v>0</v>
      </c>
      <c r="H64" s="18"/>
      <c r="I64" s="18"/>
      <c r="J64" s="12">
        <f t="shared" si="7"/>
        <v>0</v>
      </c>
      <c r="K64" s="19">
        <f t="shared" si="8"/>
        <v>0</v>
      </c>
      <c r="L64" s="19">
        <f t="shared" si="9"/>
        <v>0</v>
      </c>
      <c r="M64" s="11">
        <f t="shared" si="10"/>
        <v>0</v>
      </c>
      <c r="N64" s="11">
        <f t="shared" si="11"/>
        <v>0</v>
      </c>
      <c r="O64" s="11">
        <f t="shared" si="12"/>
        <v>0</v>
      </c>
      <c r="P64" s="11">
        <f t="shared" si="13"/>
        <v>0</v>
      </c>
      <c r="Q64" s="6"/>
      <c r="R64" s="6"/>
      <c r="S64" t="str">
        <f>IF(N64&gt;0,COUNTIF($N$4:N64,"&gt;0"),"")</f>
        <v/>
      </c>
    </row>
    <row r="65" spans="1:19" x14ac:dyDescent="0.25">
      <c r="A65" s="15">
        <f>'PRESUPUESTO BASE'!A65</f>
        <v>0</v>
      </c>
      <c r="B65" s="15">
        <f>'PRESUPUESTO BASE'!B65</f>
        <v>0</v>
      </c>
      <c r="C65" s="15">
        <f>'PRESUPUESTO BASE'!D65</f>
        <v>0</v>
      </c>
      <c r="D65" s="15">
        <f>'PRESUPUESTO BASE'!E65</f>
        <v>0</v>
      </c>
      <c r="E65" s="16">
        <f>'PRESUPUESTO BASE'!F65</f>
        <v>0</v>
      </c>
      <c r="F65" s="17">
        <f>'PRESUPUESTO BASE'!G65</f>
        <v>0</v>
      </c>
      <c r="G65" s="17">
        <f>'PRESUPUESTO BASE'!H65</f>
        <v>0</v>
      </c>
      <c r="H65" s="18"/>
      <c r="I65" s="18"/>
      <c r="J65" s="12">
        <f t="shared" si="7"/>
        <v>0</v>
      </c>
      <c r="K65" s="19">
        <f t="shared" si="8"/>
        <v>0</v>
      </c>
      <c r="L65" s="19">
        <f t="shared" si="9"/>
        <v>0</v>
      </c>
      <c r="M65" s="11">
        <f t="shared" si="10"/>
        <v>0</v>
      </c>
      <c r="N65" s="11">
        <f t="shared" si="11"/>
        <v>0</v>
      </c>
      <c r="O65" s="11">
        <f t="shared" si="12"/>
        <v>0</v>
      </c>
      <c r="P65" s="11">
        <f t="shared" si="13"/>
        <v>0</v>
      </c>
      <c r="Q65" s="6"/>
      <c r="R65" s="6"/>
      <c r="S65" t="str">
        <f>IF(N65&gt;0,COUNTIF($N$4:N65,"&gt;0"),"")</f>
        <v/>
      </c>
    </row>
    <row r="66" spans="1:19" x14ac:dyDescent="0.25">
      <c r="A66" s="15">
        <f>'PRESUPUESTO BASE'!A66</f>
        <v>0</v>
      </c>
      <c r="B66" s="15">
        <f>'PRESUPUESTO BASE'!B66</f>
        <v>0</v>
      </c>
      <c r="C66" s="15">
        <f>'PRESUPUESTO BASE'!D66</f>
        <v>0</v>
      </c>
      <c r="D66" s="15">
        <f>'PRESUPUESTO BASE'!E66</f>
        <v>0</v>
      </c>
      <c r="E66" s="16">
        <f>'PRESUPUESTO BASE'!F66</f>
        <v>0</v>
      </c>
      <c r="F66" s="17">
        <f>'PRESUPUESTO BASE'!G66</f>
        <v>0</v>
      </c>
      <c r="G66" s="17">
        <f>'PRESUPUESTO BASE'!H66</f>
        <v>0</v>
      </c>
      <c r="H66" s="18"/>
      <c r="I66" s="18"/>
      <c r="J66" s="12">
        <f t="shared" si="7"/>
        <v>0</v>
      </c>
      <c r="K66" s="19">
        <f t="shared" si="8"/>
        <v>0</v>
      </c>
      <c r="L66" s="19">
        <f t="shared" si="9"/>
        <v>0</v>
      </c>
      <c r="M66" s="11">
        <f t="shared" si="10"/>
        <v>0</v>
      </c>
      <c r="N66" s="11">
        <f t="shared" si="11"/>
        <v>0</v>
      </c>
      <c r="O66" s="11">
        <f t="shared" si="12"/>
        <v>0</v>
      </c>
      <c r="P66" s="11">
        <f t="shared" si="13"/>
        <v>0</v>
      </c>
      <c r="Q66" s="6"/>
      <c r="R66" s="6"/>
      <c r="S66" t="str">
        <f>IF(N66&gt;0,COUNTIF($N$4:N66,"&gt;0"),"")</f>
        <v/>
      </c>
    </row>
    <row r="67" spans="1:19" x14ac:dyDescent="0.25">
      <c r="A67" s="15">
        <f>'PRESUPUESTO BASE'!A67</f>
        <v>0</v>
      </c>
      <c r="B67" s="15">
        <f>'PRESUPUESTO BASE'!B67</f>
        <v>0</v>
      </c>
      <c r="C67" s="15">
        <f>'PRESUPUESTO BASE'!D67</f>
        <v>0</v>
      </c>
      <c r="D67" s="15">
        <f>'PRESUPUESTO BASE'!E67</f>
        <v>0</v>
      </c>
      <c r="E67" s="16">
        <f>'PRESUPUESTO BASE'!F67</f>
        <v>0</v>
      </c>
      <c r="F67" s="17">
        <f>'PRESUPUESTO BASE'!G67</f>
        <v>0</v>
      </c>
      <c r="G67" s="17">
        <f>'PRESUPUESTO BASE'!H67</f>
        <v>0</v>
      </c>
      <c r="H67" s="18"/>
      <c r="I67" s="18"/>
      <c r="J67" s="12">
        <f t="shared" si="7"/>
        <v>0</v>
      </c>
      <c r="K67" s="19">
        <f t="shared" si="8"/>
        <v>0</v>
      </c>
      <c r="L67" s="19">
        <f t="shared" si="9"/>
        <v>0</v>
      </c>
      <c r="M67" s="11">
        <f t="shared" si="10"/>
        <v>0</v>
      </c>
      <c r="N67" s="11">
        <f t="shared" si="11"/>
        <v>0</v>
      </c>
      <c r="O67" s="11">
        <f t="shared" si="12"/>
        <v>0</v>
      </c>
      <c r="P67" s="11">
        <f t="shared" si="13"/>
        <v>0</v>
      </c>
      <c r="Q67" s="6"/>
      <c r="R67" s="6"/>
      <c r="S67" t="str">
        <f>IF(N67&gt;0,COUNTIF($N$4:N67,"&gt;0"),"")</f>
        <v/>
      </c>
    </row>
    <row r="68" spans="1:19" x14ac:dyDescent="0.25">
      <c r="A68" s="15">
        <f>'PRESUPUESTO BASE'!A68</f>
        <v>0</v>
      </c>
      <c r="B68" s="15">
        <f>'PRESUPUESTO BASE'!B68</f>
        <v>0</v>
      </c>
      <c r="C68" s="15">
        <f>'PRESUPUESTO BASE'!D68</f>
        <v>0</v>
      </c>
      <c r="D68" s="15">
        <f>'PRESUPUESTO BASE'!E68</f>
        <v>0</v>
      </c>
      <c r="E68" s="16">
        <f>'PRESUPUESTO BASE'!F68</f>
        <v>0</v>
      </c>
      <c r="F68" s="17">
        <f>'PRESUPUESTO BASE'!G68</f>
        <v>0</v>
      </c>
      <c r="G68" s="17">
        <f>'PRESUPUESTO BASE'!H68</f>
        <v>0</v>
      </c>
      <c r="H68" s="18"/>
      <c r="I68" s="18"/>
      <c r="J68" s="12">
        <f t="shared" ref="J68:J99" si="14">MIN(1,H68+I68)</f>
        <v>0</v>
      </c>
      <c r="K68" s="19">
        <f t="shared" ref="K68:K103" si="15">E68*I68</f>
        <v>0</v>
      </c>
      <c r="L68" s="19">
        <f t="shared" ref="L68:L103" si="16">E68*J68</f>
        <v>0</v>
      </c>
      <c r="M68" s="11">
        <f t="shared" ref="M68:M103" si="17">G68*H68</f>
        <v>0</v>
      </c>
      <c r="N68" s="11">
        <f t="shared" ref="N68:N103" si="18">G68*I68</f>
        <v>0</v>
      </c>
      <c r="O68" s="11">
        <f t="shared" ref="O68:O103" si="19">G68*J68</f>
        <v>0</v>
      </c>
      <c r="P68" s="11">
        <f t="shared" ref="P68:P99" si="20">G68-O68</f>
        <v>0</v>
      </c>
      <c r="Q68" s="6"/>
      <c r="R68" s="6"/>
      <c r="S68" t="str">
        <f>IF(N68&gt;0,COUNTIF($N$4:N68,"&gt;0"),"")</f>
        <v/>
      </c>
    </row>
    <row r="69" spans="1:19" x14ac:dyDescent="0.25">
      <c r="A69" s="15">
        <f>'PRESUPUESTO BASE'!A69</f>
        <v>0</v>
      </c>
      <c r="B69" s="15">
        <f>'PRESUPUESTO BASE'!B69</f>
        <v>0</v>
      </c>
      <c r="C69" s="15">
        <f>'PRESUPUESTO BASE'!D69</f>
        <v>0</v>
      </c>
      <c r="D69" s="15">
        <f>'PRESUPUESTO BASE'!E69</f>
        <v>0</v>
      </c>
      <c r="E69" s="16">
        <f>'PRESUPUESTO BASE'!F69</f>
        <v>0</v>
      </c>
      <c r="F69" s="17">
        <f>'PRESUPUESTO BASE'!G69</f>
        <v>0</v>
      </c>
      <c r="G69" s="17">
        <f>'PRESUPUESTO BASE'!H69</f>
        <v>0</v>
      </c>
      <c r="H69" s="18"/>
      <c r="I69" s="18"/>
      <c r="J69" s="12">
        <f t="shared" si="14"/>
        <v>0</v>
      </c>
      <c r="K69" s="19">
        <f t="shared" si="15"/>
        <v>0</v>
      </c>
      <c r="L69" s="19">
        <f t="shared" si="16"/>
        <v>0</v>
      </c>
      <c r="M69" s="11">
        <f t="shared" si="17"/>
        <v>0</v>
      </c>
      <c r="N69" s="11">
        <f t="shared" si="18"/>
        <v>0</v>
      </c>
      <c r="O69" s="11">
        <f t="shared" si="19"/>
        <v>0</v>
      </c>
      <c r="P69" s="11">
        <f t="shared" si="20"/>
        <v>0</v>
      </c>
      <c r="Q69" s="6"/>
      <c r="R69" s="6"/>
      <c r="S69" t="str">
        <f>IF(N69&gt;0,COUNTIF($N$4:N69,"&gt;0"),"")</f>
        <v/>
      </c>
    </row>
    <row r="70" spans="1:19" x14ac:dyDescent="0.25">
      <c r="A70" s="15">
        <f>'PRESUPUESTO BASE'!A70</f>
        <v>0</v>
      </c>
      <c r="B70" s="15">
        <f>'PRESUPUESTO BASE'!B70</f>
        <v>0</v>
      </c>
      <c r="C70" s="15">
        <f>'PRESUPUESTO BASE'!D70</f>
        <v>0</v>
      </c>
      <c r="D70" s="15">
        <f>'PRESUPUESTO BASE'!E70</f>
        <v>0</v>
      </c>
      <c r="E70" s="16">
        <f>'PRESUPUESTO BASE'!F70</f>
        <v>0</v>
      </c>
      <c r="F70" s="17">
        <f>'PRESUPUESTO BASE'!G70</f>
        <v>0</v>
      </c>
      <c r="G70" s="17">
        <f>'PRESUPUESTO BASE'!H70</f>
        <v>0</v>
      </c>
      <c r="H70" s="18"/>
      <c r="I70" s="18"/>
      <c r="J70" s="12">
        <f t="shared" si="14"/>
        <v>0</v>
      </c>
      <c r="K70" s="19">
        <f t="shared" si="15"/>
        <v>0</v>
      </c>
      <c r="L70" s="19">
        <f t="shared" si="16"/>
        <v>0</v>
      </c>
      <c r="M70" s="11">
        <f t="shared" si="17"/>
        <v>0</v>
      </c>
      <c r="N70" s="11">
        <f t="shared" si="18"/>
        <v>0</v>
      </c>
      <c r="O70" s="11">
        <f t="shared" si="19"/>
        <v>0</v>
      </c>
      <c r="P70" s="11">
        <f t="shared" si="20"/>
        <v>0</v>
      </c>
      <c r="Q70" s="6"/>
      <c r="R70" s="6"/>
      <c r="S70" t="str">
        <f>IF(N70&gt;0,COUNTIF($N$4:N70,"&gt;0"),"")</f>
        <v/>
      </c>
    </row>
    <row r="71" spans="1:19" x14ac:dyDescent="0.25">
      <c r="A71" s="15">
        <f>'PRESUPUESTO BASE'!A71</f>
        <v>0</v>
      </c>
      <c r="B71" s="15">
        <f>'PRESUPUESTO BASE'!B71</f>
        <v>0</v>
      </c>
      <c r="C71" s="15">
        <f>'PRESUPUESTO BASE'!D71</f>
        <v>0</v>
      </c>
      <c r="D71" s="15">
        <f>'PRESUPUESTO BASE'!E71</f>
        <v>0</v>
      </c>
      <c r="E71" s="16">
        <f>'PRESUPUESTO BASE'!F71</f>
        <v>0</v>
      </c>
      <c r="F71" s="17">
        <f>'PRESUPUESTO BASE'!G71</f>
        <v>0</v>
      </c>
      <c r="G71" s="17">
        <f>'PRESUPUESTO BASE'!H71</f>
        <v>0</v>
      </c>
      <c r="H71" s="18"/>
      <c r="I71" s="18"/>
      <c r="J71" s="12">
        <f t="shared" si="14"/>
        <v>0</v>
      </c>
      <c r="K71" s="19">
        <f t="shared" si="15"/>
        <v>0</v>
      </c>
      <c r="L71" s="19">
        <f t="shared" si="16"/>
        <v>0</v>
      </c>
      <c r="M71" s="11">
        <f t="shared" si="17"/>
        <v>0</v>
      </c>
      <c r="N71" s="11">
        <f t="shared" si="18"/>
        <v>0</v>
      </c>
      <c r="O71" s="11">
        <f t="shared" si="19"/>
        <v>0</v>
      </c>
      <c r="P71" s="11">
        <f t="shared" si="20"/>
        <v>0</v>
      </c>
      <c r="Q71" s="6"/>
      <c r="R71" s="6"/>
      <c r="S71" t="str">
        <f>IF(N71&gt;0,COUNTIF($N$4:N71,"&gt;0"),"")</f>
        <v/>
      </c>
    </row>
    <row r="72" spans="1:19" x14ac:dyDescent="0.25">
      <c r="A72" s="15">
        <f>'PRESUPUESTO BASE'!A72</f>
        <v>0</v>
      </c>
      <c r="B72" s="15">
        <f>'PRESUPUESTO BASE'!B72</f>
        <v>0</v>
      </c>
      <c r="C72" s="15">
        <f>'PRESUPUESTO BASE'!D72</f>
        <v>0</v>
      </c>
      <c r="D72" s="15">
        <f>'PRESUPUESTO BASE'!E72</f>
        <v>0</v>
      </c>
      <c r="E72" s="16">
        <f>'PRESUPUESTO BASE'!F72</f>
        <v>0</v>
      </c>
      <c r="F72" s="17">
        <f>'PRESUPUESTO BASE'!G72</f>
        <v>0</v>
      </c>
      <c r="G72" s="17">
        <f>'PRESUPUESTO BASE'!H72</f>
        <v>0</v>
      </c>
      <c r="H72" s="18"/>
      <c r="I72" s="18"/>
      <c r="J72" s="12">
        <f t="shared" si="14"/>
        <v>0</v>
      </c>
      <c r="K72" s="19">
        <f t="shared" si="15"/>
        <v>0</v>
      </c>
      <c r="L72" s="19">
        <f t="shared" si="16"/>
        <v>0</v>
      </c>
      <c r="M72" s="11">
        <f t="shared" si="17"/>
        <v>0</v>
      </c>
      <c r="N72" s="11">
        <f t="shared" si="18"/>
        <v>0</v>
      </c>
      <c r="O72" s="11">
        <f t="shared" si="19"/>
        <v>0</v>
      </c>
      <c r="P72" s="11">
        <f t="shared" si="20"/>
        <v>0</v>
      </c>
      <c r="Q72" s="6"/>
      <c r="R72" s="6"/>
      <c r="S72" t="str">
        <f>IF(N72&gt;0,COUNTIF($N$4:N72,"&gt;0"),"")</f>
        <v/>
      </c>
    </row>
    <row r="73" spans="1:19" x14ac:dyDescent="0.25">
      <c r="A73" s="15">
        <f>'PRESUPUESTO BASE'!A73</f>
        <v>0</v>
      </c>
      <c r="B73" s="15">
        <f>'PRESUPUESTO BASE'!B73</f>
        <v>0</v>
      </c>
      <c r="C73" s="15">
        <f>'PRESUPUESTO BASE'!D73</f>
        <v>0</v>
      </c>
      <c r="D73" s="15">
        <f>'PRESUPUESTO BASE'!E73</f>
        <v>0</v>
      </c>
      <c r="E73" s="16">
        <f>'PRESUPUESTO BASE'!F73</f>
        <v>0</v>
      </c>
      <c r="F73" s="17">
        <f>'PRESUPUESTO BASE'!G73</f>
        <v>0</v>
      </c>
      <c r="G73" s="17">
        <f>'PRESUPUESTO BASE'!H73</f>
        <v>0</v>
      </c>
      <c r="H73" s="18"/>
      <c r="I73" s="18"/>
      <c r="J73" s="12">
        <f t="shared" si="14"/>
        <v>0</v>
      </c>
      <c r="K73" s="19">
        <f t="shared" si="15"/>
        <v>0</v>
      </c>
      <c r="L73" s="19">
        <f t="shared" si="16"/>
        <v>0</v>
      </c>
      <c r="M73" s="11">
        <f t="shared" si="17"/>
        <v>0</v>
      </c>
      <c r="N73" s="11">
        <f t="shared" si="18"/>
        <v>0</v>
      </c>
      <c r="O73" s="11">
        <f t="shared" si="19"/>
        <v>0</v>
      </c>
      <c r="P73" s="11">
        <f t="shared" si="20"/>
        <v>0</v>
      </c>
      <c r="Q73" s="6"/>
      <c r="R73" s="6"/>
      <c r="S73" t="str">
        <f>IF(N73&gt;0,COUNTIF($N$4:N73,"&gt;0"),"")</f>
        <v/>
      </c>
    </row>
    <row r="74" spans="1:19" x14ac:dyDescent="0.25">
      <c r="A74" s="15">
        <f>'PRESUPUESTO BASE'!A74</f>
        <v>0</v>
      </c>
      <c r="B74" s="15">
        <f>'PRESUPUESTO BASE'!B74</f>
        <v>0</v>
      </c>
      <c r="C74" s="15">
        <f>'PRESUPUESTO BASE'!D74</f>
        <v>0</v>
      </c>
      <c r="D74" s="15">
        <f>'PRESUPUESTO BASE'!E74</f>
        <v>0</v>
      </c>
      <c r="E74" s="16">
        <f>'PRESUPUESTO BASE'!F74</f>
        <v>0</v>
      </c>
      <c r="F74" s="17">
        <f>'PRESUPUESTO BASE'!G74</f>
        <v>0</v>
      </c>
      <c r="G74" s="17">
        <f>'PRESUPUESTO BASE'!H74</f>
        <v>0</v>
      </c>
      <c r="H74" s="18"/>
      <c r="I74" s="18"/>
      <c r="J74" s="12">
        <f t="shared" si="14"/>
        <v>0</v>
      </c>
      <c r="K74" s="19">
        <f t="shared" si="15"/>
        <v>0</v>
      </c>
      <c r="L74" s="19">
        <f t="shared" si="16"/>
        <v>0</v>
      </c>
      <c r="M74" s="11">
        <f t="shared" si="17"/>
        <v>0</v>
      </c>
      <c r="N74" s="11">
        <f t="shared" si="18"/>
        <v>0</v>
      </c>
      <c r="O74" s="11">
        <f t="shared" si="19"/>
        <v>0</v>
      </c>
      <c r="P74" s="11">
        <f t="shared" si="20"/>
        <v>0</v>
      </c>
      <c r="Q74" s="6"/>
      <c r="R74" s="6"/>
      <c r="S74" t="str">
        <f>IF(N74&gt;0,COUNTIF($N$4:N74,"&gt;0"),"")</f>
        <v/>
      </c>
    </row>
    <row r="75" spans="1:19" x14ac:dyDescent="0.25">
      <c r="A75" s="15">
        <f>'PRESUPUESTO BASE'!A75</f>
        <v>0</v>
      </c>
      <c r="B75" s="15">
        <f>'PRESUPUESTO BASE'!B75</f>
        <v>0</v>
      </c>
      <c r="C75" s="15">
        <f>'PRESUPUESTO BASE'!D75</f>
        <v>0</v>
      </c>
      <c r="D75" s="15">
        <f>'PRESUPUESTO BASE'!E75</f>
        <v>0</v>
      </c>
      <c r="E75" s="16">
        <f>'PRESUPUESTO BASE'!F75</f>
        <v>0</v>
      </c>
      <c r="F75" s="17">
        <f>'PRESUPUESTO BASE'!G75</f>
        <v>0</v>
      </c>
      <c r="G75" s="17">
        <f>'PRESUPUESTO BASE'!H75</f>
        <v>0</v>
      </c>
      <c r="H75" s="18"/>
      <c r="I75" s="18"/>
      <c r="J75" s="12">
        <f t="shared" si="14"/>
        <v>0</v>
      </c>
      <c r="K75" s="19">
        <f t="shared" si="15"/>
        <v>0</v>
      </c>
      <c r="L75" s="19">
        <f t="shared" si="16"/>
        <v>0</v>
      </c>
      <c r="M75" s="11">
        <f t="shared" si="17"/>
        <v>0</v>
      </c>
      <c r="N75" s="11">
        <f t="shared" si="18"/>
        <v>0</v>
      </c>
      <c r="O75" s="11">
        <f t="shared" si="19"/>
        <v>0</v>
      </c>
      <c r="P75" s="11">
        <f t="shared" si="20"/>
        <v>0</v>
      </c>
      <c r="Q75" s="6"/>
      <c r="R75" s="6"/>
      <c r="S75" t="str">
        <f>IF(N75&gt;0,COUNTIF($N$4:N75,"&gt;0"),"")</f>
        <v/>
      </c>
    </row>
    <row r="76" spans="1:19" x14ac:dyDescent="0.25">
      <c r="A76" s="15">
        <f>'PRESUPUESTO BASE'!A76</f>
        <v>0</v>
      </c>
      <c r="B76" s="15">
        <f>'PRESUPUESTO BASE'!B76</f>
        <v>0</v>
      </c>
      <c r="C76" s="15">
        <f>'PRESUPUESTO BASE'!D76</f>
        <v>0</v>
      </c>
      <c r="D76" s="15">
        <f>'PRESUPUESTO BASE'!E76</f>
        <v>0</v>
      </c>
      <c r="E76" s="16">
        <f>'PRESUPUESTO BASE'!F76</f>
        <v>0</v>
      </c>
      <c r="F76" s="17">
        <f>'PRESUPUESTO BASE'!G76</f>
        <v>0</v>
      </c>
      <c r="G76" s="17">
        <f>'PRESUPUESTO BASE'!H76</f>
        <v>0</v>
      </c>
      <c r="H76" s="18"/>
      <c r="I76" s="18"/>
      <c r="J76" s="12">
        <f t="shared" si="14"/>
        <v>0</v>
      </c>
      <c r="K76" s="19">
        <f t="shared" si="15"/>
        <v>0</v>
      </c>
      <c r="L76" s="19">
        <f t="shared" si="16"/>
        <v>0</v>
      </c>
      <c r="M76" s="11">
        <f t="shared" si="17"/>
        <v>0</v>
      </c>
      <c r="N76" s="11">
        <f t="shared" si="18"/>
        <v>0</v>
      </c>
      <c r="O76" s="11">
        <f t="shared" si="19"/>
        <v>0</v>
      </c>
      <c r="P76" s="11">
        <f t="shared" si="20"/>
        <v>0</v>
      </c>
      <c r="Q76" s="6"/>
      <c r="R76" s="6"/>
      <c r="S76" t="str">
        <f>IF(N76&gt;0,COUNTIF($N$4:N76,"&gt;0"),"")</f>
        <v/>
      </c>
    </row>
    <row r="77" spans="1:19" x14ac:dyDescent="0.25">
      <c r="A77" s="15">
        <f>'PRESUPUESTO BASE'!A77</f>
        <v>0</v>
      </c>
      <c r="B77" s="15">
        <f>'PRESUPUESTO BASE'!B77</f>
        <v>0</v>
      </c>
      <c r="C77" s="15">
        <f>'PRESUPUESTO BASE'!D77</f>
        <v>0</v>
      </c>
      <c r="D77" s="15">
        <f>'PRESUPUESTO BASE'!E77</f>
        <v>0</v>
      </c>
      <c r="E77" s="16">
        <f>'PRESUPUESTO BASE'!F77</f>
        <v>0</v>
      </c>
      <c r="F77" s="17">
        <f>'PRESUPUESTO BASE'!G77</f>
        <v>0</v>
      </c>
      <c r="G77" s="17">
        <f>'PRESUPUESTO BASE'!H77</f>
        <v>0</v>
      </c>
      <c r="H77" s="18"/>
      <c r="I77" s="18"/>
      <c r="J77" s="12">
        <f t="shared" si="14"/>
        <v>0</v>
      </c>
      <c r="K77" s="19">
        <f t="shared" si="15"/>
        <v>0</v>
      </c>
      <c r="L77" s="19">
        <f t="shared" si="16"/>
        <v>0</v>
      </c>
      <c r="M77" s="11">
        <f t="shared" si="17"/>
        <v>0</v>
      </c>
      <c r="N77" s="11">
        <f t="shared" si="18"/>
        <v>0</v>
      </c>
      <c r="O77" s="11">
        <f t="shared" si="19"/>
        <v>0</v>
      </c>
      <c r="P77" s="11">
        <f t="shared" si="20"/>
        <v>0</v>
      </c>
      <c r="Q77" s="6"/>
      <c r="R77" s="6"/>
      <c r="S77" t="str">
        <f>IF(N77&gt;0,COUNTIF($N$4:N77,"&gt;0"),"")</f>
        <v/>
      </c>
    </row>
    <row r="78" spans="1:19" x14ac:dyDescent="0.25">
      <c r="A78" s="15">
        <f>'PRESUPUESTO BASE'!A78</f>
        <v>0</v>
      </c>
      <c r="B78" s="15">
        <f>'PRESUPUESTO BASE'!B78</f>
        <v>0</v>
      </c>
      <c r="C78" s="15">
        <f>'PRESUPUESTO BASE'!D78</f>
        <v>0</v>
      </c>
      <c r="D78" s="15">
        <f>'PRESUPUESTO BASE'!E78</f>
        <v>0</v>
      </c>
      <c r="E78" s="16">
        <f>'PRESUPUESTO BASE'!F78</f>
        <v>0</v>
      </c>
      <c r="F78" s="17">
        <f>'PRESUPUESTO BASE'!G78</f>
        <v>0</v>
      </c>
      <c r="G78" s="17">
        <f>'PRESUPUESTO BASE'!H78</f>
        <v>0</v>
      </c>
      <c r="H78" s="18"/>
      <c r="I78" s="18"/>
      <c r="J78" s="12">
        <f t="shared" si="14"/>
        <v>0</v>
      </c>
      <c r="K78" s="19">
        <f t="shared" si="15"/>
        <v>0</v>
      </c>
      <c r="L78" s="19">
        <f t="shared" si="16"/>
        <v>0</v>
      </c>
      <c r="M78" s="11">
        <f t="shared" si="17"/>
        <v>0</v>
      </c>
      <c r="N78" s="11">
        <f t="shared" si="18"/>
        <v>0</v>
      </c>
      <c r="O78" s="11">
        <f t="shared" si="19"/>
        <v>0</v>
      </c>
      <c r="P78" s="11">
        <f t="shared" si="20"/>
        <v>0</v>
      </c>
      <c r="Q78" s="6"/>
      <c r="R78" s="6"/>
      <c r="S78" t="str">
        <f>IF(N78&gt;0,COUNTIF($N$4:N78,"&gt;0"),"")</f>
        <v/>
      </c>
    </row>
    <row r="79" spans="1:19" x14ac:dyDescent="0.25">
      <c r="A79" s="15">
        <f>'PRESUPUESTO BASE'!A79</f>
        <v>0</v>
      </c>
      <c r="B79" s="15">
        <f>'PRESUPUESTO BASE'!B79</f>
        <v>0</v>
      </c>
      <c r="C79" s="15">
        <f>'PRESUPUESTO BASE'!D79</f>
        <v>0</v>
      </c>
      <c r="D79" s="15">
        <f>'PRESUPUESTO BASE'!E79</f>
        <v>0</v>
      </c>
      <c r="E79" s="16">
        <f>'PRESUPUESTO BASE'!F79</f>
        <v>0</v>
      </c>
      <c r="F79" s="17">
        <f>'PRESUPUESTO BASE'!G79</f>
        <v>0</v>
      </c>
      <c r="G79" s="17">
        <f>'PRESUPUESTO BASE'!H79</f>
        <v>0</v>
      </c>
      <c r="H79" s="18"/>
      <c r="I79" s="18"/>
      <c r="J79" s="12">
        <f t="shared" si="14"/>
        <v>0</v>
      </c>
      <c r="K79" s="19">
        <f t="shared" si="15"/>
        <v>0</v>
      </c>
      <c r="L79" s="19">
        <f t="shared" si="16"/>
        <v>0</v>
      </c>
      <c r="M79" s="11">
        <f t="shared" si="17"/>
        <v>0</v>
      </c>
      <c r="N79" s="11">
        <f t="shared" si="18"/>
        <v>0</v>
      </c>
      <c r="O79" s="11">
        <f t="shared" si="19"/>
        <v>0</v>
      </c>
      <c r="P79" s="11">
        <f t="shared" si="20"/>
        <v>0</v>
      </c>
      <c r="Q79" s="6"/>
      <c r="R79" s="6"/>
      <c r="S79" t="str">
        <f>IF(N79&gt;0,COUNTIF($N$4:N79,"&gt;0"),"")</f>
        <v/>
      </c>
    </row>
    <row r="80" spans="1:19" x14ac:dyDescent="0.25">
      <c r="A80" s="15">
        <f>'PRESUPUESTO BASE'!A80</f>
        <v>0</v>
      </c>
      <c r="B80" s="15">
        <f>'PRESUPUESTO BASE'!B80</f>
        <v>0</v>
      </c>
      <c r="C80" s="15">
        <f>'PRESUPUESTO BASE'!D80</f>
        <v>0</v>
      </c>
      <c r="D80" s="15">
        <f>'PRESUPUESTO BASE'!E80</f>
        <v>0</v>
      </c>
      <c r="E80" s="16">
        <f>'PRESUPUESTO BASE'!F80</f>
        <v>0</v>
      </c>
      <c r="F80" s="17">
        <f>'PRESUPUESTO BASE'!G80</f>
        <v>0</v>
      </c>
      <c r="G80" s="17">
        <f>'PRESUPUESTO BASE'!H80</f>
        <v>0</v>
      </c>
      <c r="H80" s="18"/>
      <c r="I80" s="18"/>
      <c r="J80" s="12">
        <f t="shared" si="14"/>
        <v>0</v>
      </c>
      <c r="K80" s="19">
        <f t="shared" si="15"/>
        <v>0</v>
      </c>
      <c r="L80" s="19">
        <f t="shared" si="16"/>
        <v>0</v>
      </c>
      <c r="M80" s="11">
        <f t="shared" si="17"/>
        <v>0</v>
      </c>
      <c r="N80" s="11">
        <f t="shared" si="18"/>
        <v>0</v>
      </c>
      <c r="O80" s="11">
        <f t="shared" si="19"/>
        <v>0</v>
      </c>
      <c r="P80" s="11">
        <f t="shared" si="20"/>
        <v>0</v>
      </c>
      <c r="Q80" s="6"/>
      <c r="R80" s="6"/>
      <c r="S80" t="str">
        <f>IF(N80&gt;0,COUNTIF($N$4:N80,"&gt;0"),"")</f>
        <v/>
      </c>
    </row>
    <row r="81" spans="1:19" x14ac:dyDescent="0.25">
      <c r="A81" s="15">
        <f>'PRESUPUESTO BASE'!A81</f>
        <v>0</v>
      </c>
      <c r="B81" s="15">
        <f>'PRESUPUESTO BASE'!B81</f>
        <v>0</v>
      </c>
      <c r="C81" s="15">
        <f>'PRESUPUESTO BASE'!D81</f>
        <v>0</v>
      </c>
      <c r="D81" s="15">
        <f>'PRESUPUESTO BASE'!E81</f>
        <v>0</v>
      </c>
      <c r="E81" s="16">
        <f>'PRESUPUESTO BASE'!F81</f>
        <v>0</v>
      </c>
      <c r="F81" s="17">
        <f>'PRESUPUESTO BASE'!G81</f>
        <v>0</v>
      </c>
      <c r="G81" s="17">
        <f>'PRESUPUESTO BASE'!H81</f>
        <v>0</v>
      </c>
      <c r="H81" s="18"/>
      <c r="I81" s="18"/>
      <c r="J81" s="12">
        <f t="shared" si="14"/>
        <v>0</v>
      </c>
      <c r="K81" s="19">
        <f t="shared" si="15"/>
        <v>0</v>
      </c>
      <c r="L81" s="19">
        <f t="shared" si="16"/>
        <v>0</v>
      </c>
      <c r="M81" s="11">
        <f t="shared" si="17"/>
        <v>0</v>
      </c>
      <c r="N81" s="11">
        <f t="shared" si="18"/>
        <v>0</v>
      </c>
      <c r="O81" s="11">
        <f t="shared" si="19"/>
        <v>0</v>
      </c>
      <c r="P81" s="11">
        <f t="shared" si="20"/>
        <v>0</v>
      </c>
      <c r="Q81" s="6"/>
      <c r="R81" s="6"/>
      <c r="S81" t="str">
        <f>IF(N81&gt;0,COUNTIF($N$4:N81,"&gt;0"),"")</f>
        <v/>
      </c>
    </row>
    <row r="82" spans="1:19" x14ac:dyDescent="0.25">
      <c r="A82" s="15">
        <f>'PRESUPUESTO BASE'!A82</f>
        <v>0</v>
      </c>
      <c r="B82" s="15">
        <f>'PRESUPUESTO BASE'!B82</f>
        <v>0</v>
      </c>
      <c r="C82" s="15">
        <f>'PRESUPUESTO BASE'!D82</f>
        <v>0</v>
      </c>
      <c r="D82" s="15">
        <f>'PRESUPUESTO BASE'!E82</f>
        <v>0</v>
      </c>
      <c r="E82" s="16">
        <f>'PRESUPUESTO BASE'!F82</f>
        <v>0</v>
      </c>
      <c r="F82" s="17">
        <f>'PRESUPUESTO BASE'!G82</f>
        <v>0</v>
      </c>
      <c r="G82" s="17">
        <f>'PRESUPUESTO BASE'!H82</f>
        <v>0</v>
      </c>
      <c r="H82" s="18"/>
      <c r="I82" s="18"/>
      <c r="J82" s="12">
        <f t="shared" si="14"/>
        <v>0</v>
      </c>
      <c r="K82" s="19">
        <f t="shared" si="15"/>
        <v>0</v>
      </c>
      <c r="L82" s="19">
        <f t="shared" si="16"/>
        <v>0</v>
      </c>
      <c r="M82" s="11">
        <f t="shared" si="17"/>
        <v>0</v>
      </c>
      <c r="N82" s="11">
        <f t="shared" si="18"/>
        <v>0</v>
      </c>
      <c r="O82" s="11">
        <f t="shared" si="19"/>
        <v>0</v>
      </c>
      <c r="P82" s="11">
        <f t="shared" si="20"/>
        <v>0</v>
      </c>
      <c r="Q82" s="6"/>
      <c r="R82" s="6"/>
      <c r="S82" t="str">
        <f>IF(N82&gt;0,COUNTIF($N$4:N82,"&gt;0"),"")</f>
        <v/>
      </c>
    </row>
    <row r="83" spans="1:19" x14ac:dyDescent="0.25">
      <c r="A83" s="15">
        <f>'PRESUPUESTO BASE'!A83</f>
        <v>0</v>
      </c>
      <c r="B83" s="15">
        <f>'PRESUPUESTO BASE'!B83</f>
        <v>0</v>
      </c>
      <c r="C83" s="15">
        <f>'PRESUPUESTO BASE'!D83</f>
        <v>0</v>
      </c>
      <c r="D83" s="15">
        <f>'PRESUPUESTO BASE'!E83</f>
        <v>0</v>
      </c>
      <c r="E83" s="16">
        <f>'PRESUPUESTO BASE'!F83</f>
        <v>0</v>
      </c>
      <c r="F83" s="17">
        <f>'PRESUPUESTO BASE'!G83</f>
        <v>0</v>
      </c>
      <c r="G83" s="17">
        <f>'PRESUPUESTO BASE'!H83</f>
        <v>0</v>
      </c>
      <c r="H83" s="18"/>
      <c r="I83" s="18"/>
      <c r="J83" s="12">
        <f t="shared" si="14"/>
        <v>0</v>
      </c>
      <c r="K83" s="19">
        <f t="shared" si="15"/>
        <v>0</v>
      </c>
      <c r="L83" s="19">
        <f t="shared" si="16"/>
        <v>0</v>
      </c>
      <c r="M83" s="11">
        <f t="shared" si="17"/>
        <v>0</v>
      </c>
      <c r="N83" s="11">
        <f t="shared" si="18"/>
        <v>0</v>
      </c>
      <c r="O83" s="11">
        <f t="shared" si="19"/>
        <v>0</v>
      </c>
      <c r="P83" s="11">
        <f t="shared" si="20"/>
        <v>0</v>
      </c>
      <c r="Q83" s="6"/>
      <c r="R83" s="6"/>
      <c r="S83" t="str">
        <f>IF(N83&gt;0,COUNTIF($N$4:N83,"&gt;0"),"")</f>
        <v/>
      </c>
    </row>
    <row r="84" spans="1:19" x14ac:dyDescent="0.25">
      <c r="A84" s="15">
        <f>'PRESUPUESTO BASE'!A84</f>
        <v>0</v>
      </c>
      <c r="B84" s="15">
        <f>'PRESUPUESTO BASE'!B84</f>
        <v>0</v>
      </c>
      <c r="C84" s="15">
        <f>'PRESUPUESTO BASE'!D84</f>
        <v>0</v>
      </c>
      <c r="D84" s="15">
        <f>'PRESUPUESTO BASE'!E84</f>
        <v>0</v>
      </c>
      <c r="E84" s="16">
        <f>'PRESUPUESTO BASE'!F84</f>
        <v>0</v>
      </c>
      <c r="F84" s="17">
        <f>'PRESUPUESTO BASE'!G84</f>
        <v>0</v>
      </c>
      <c r="G84" s="17">
        <f>'PRESUPUESTO BASE'!H84</f>
        <v>0</v>
      </c>
      <c r="H84" s="18"/>
      <c r="I84" s="18"/>
      <c r="J84" s="12">
        <f t="shared" si="14"/>
        <v>0</v>
      </c>
      <c r="K84" s="19">
        <f t="shared" si="15"/>
        <v>0</v>
      </c>
      <c r="L84" s="19">
        <f t="shared" si="16"/>
        <v>0</v>
      </c>
      <c r="M84" s="11">
        <f t="shared" si="17"/>
        <v>0</v>
      </c>
      <c r="N84" s="11">
        <f t="shared" si="18"/>
        <v>0</v>
      </c>
      <c r="O84" s="11">
        <f t="shared" si="19"/>
        <v>0</v>
      </c>
      <c r="P84" s="11">
        <f t="shared" si="20"/>
        <v>0</v>
      </c>
      <c r="Q84" s="6"/>
      <c r="R84" s="6"/>
      <c r="S84" t="str">
        <f>IF(N84&gt;0,COUNTIF($N$4:N84,"&gt;0"),"")</f>
        <v/>
      </c>
    </row>
    <row r="85" spans="1:19" x14ac:dyDescent="0.25">
      <c r="A85" s="15">
        <f>'PRESUPUESTO BASE'!A85</f>
        <v>0</v>
      </c>
      <c r="B85" s="15">
        <f>'PRESUPUESTO BASE'!B85</f>
        <v>0</v>
      </c>
      <c r="C85" s="15">
        <f>'PRESUPUESTO BASE'!D85</f>
        <v>0</v>
      </c>
      <c r="D85" s="15">
        <f>'PRESUPUESTO BASE'!E85</f>
        <v>0</v>
      </c>
      <c r="E85" s="16">
        <f>'PRESUPUESTO BASE'!F85</f>
        <v>0</v>
      </c>
      <c r="F85" s="17">
        <f>'PRESUPUESTO BASE'!G85</f>
        <v>0</v>
      </c>
      <c r="G85" s="17">
        <f>'PRESUPUESTO BASE'!H85</f>
        <v>0</v>
      </c>
      <c r="H85" s="18"/>
      <c r="I85" s="18"/>
      <c r="J85" s="12">
        <f t="shared" si="14"/>
        <v>0</v>
      </c>
      <c r="K85" s="19">
        <f t="shared" si="15"/>
        <v>0</v>
      </c>
      <c r="L85" s="19">
        <f t="shared" si="16"/>
        <v>0</v>
      </c>
      <c r="M85" s="11">
        <f t="shared" si="17"/>
        <v>0</v>
      </c>
      <c r="N85" s="11">
        <f t="shared" si="18"/>
        <v>0</v>
      </c>
      <c r="O85" s="11">
        <f t="shared" si="19"/>
        <v>0</v>
      </c>
      <c r="P85" s="11">
        <f t="shared" si="20"/>
        <v>0</v>
      </c>
      <c r="Q85" s="6"/>
      <c r="R85" s="6"/>
      <c r="S85" t="str">
        <f>IF(N85&gt;0,COUNTIF($N$4:N85,"&gt;0"),"")</f>
        <v/>
      </c>
    </row>
    <row r="86" spans="1:19" x14ac:dyDescent="0.25">
      <c r="A86" s="15">
        <f>'PRESUPUESTO BASE'!A86</f>
        <v>0</v>
      </c>
      <c r="B86" s="15">
        <f>'PRESUPUESTO BASE'!B86</f>
        <v>0</v>
      </c>
      <c r="C86" s="15">
        <f>'PRESUPUESTO BASE'!D86</f>
        <v>0</v>
      </c>
      <c r="D86" s="15">
        <f>'PRESUPUESTO BASE'!E86</f>
        <v>0</v>
      </c>
      <c r="E86" s="16">
        <f>'PRESUPUESTO BASE'!F86</f>
        <v>0</v>
      </c>
      <c r="F86" s="17">
        <f>'PRESUPUESTO BASE'!G86</f>
        <v>0</v>
      </c>
      <c r="G86" s="17">
        <f>'PRESUPUESTO BASE'!H86</f>
        <v>0</v>
      </c>
      <c r="H86" s="18"/>
      <c r="I86" s="18"/>
      <c r="J86" s="12">
        <f t="shared" si="14"/>
        <v>0</v>
      </c>
      <c r="K86" s="19">
        <f t="shared" si="15"/>
        <v>0</v>
      </c>
      <c r="L86" s="19">
        <f t="shared" si="16"/>
        <v>0</v>
      </c>
      <c r="M86" s="11">
        <f t="shared" si="17"/>
        <v>0</v>
      </c>
      <c r="N86" s="11">
        <f t="shared" si="18"/>
        <v>0</v>
      </c>
      <c r="O86" s="11">
        <f t="shared" si="19"/>
        <v>0</v>
      </c>
      <c r="P86" s="11">
        <f t="shared" si="20"/>
        <v>0</v>
      </c>
      <c r="Q86" s="6"/>
      <c r="R86" s="6"/>
      <c r="S86" t="str">
        <f>IF(N86&gt;0,COUNTIF($N$4:N86,"&gt;0"),"")</f>
        <v/>
      </c>
    </row>
    <row r="87" spans="1:19" x14ac:dyDescent="0.25">
      <c r="A87" s="15">
        <f>'PRESUPUESTO BASE'!A87</f>
        <v>0</v>
      </c>
      <c r="B87" s="15">
        <f>'PRESUPUESTO BASE'!B87</f>
        <v>0</v>
      </c>
      <c r="C87" s="15">
        <f>'PRESUPUESTO BASE'!D87</f>
        <v>0</v>
      </c>
      <c r="D87" s="15">
        <f>'PRESUPUESTO BASE'!E87</f>
        <v>0</v>
      </c>
      <c r="E87" s="16">
        <f>'PRESUPUESTO BASE'!F87</f>
        <v>0</v>
      </c>
      <c r="F87" s="17">
        <f>'PRESUPUESTO BASE'!G87</f>
        <v>0</v>
      </c>
      <c r="G87" s="17">
        <f>'PRESUPUESTO BASE'!H87</f>
        <v>0</v>
      </c>
      <c r="H87" s="18"/>
      <c r="I87" s="18"/>
      <c r="J87" s="12">
        <f t="shared" si="14"/>
        <v>0</v>
      </c>
      <c r="K87" s="19">
        <f t="shared" si="15"/>
        <v>0</v>
      </c>
      <c r="L87" s="19">
        <f t="shared" si="16"/>
        <v>0</v>
      </c>
      <c r="M87" s="11">
        <f t="shared" si="17"/>
        <v>0</v>
      </c>
      <c r="N87" s="11">
        <f t="shared" si="18"/>
        <v>0</v>
      </c>
      <c r="O87" s="11">
        <f t="shared" si="19"/>
        <v>0</v>
      </c>
      <c r="P87" s="11">
        <f t="shared" si="20"/>
        <v>0</v>
      </c>
      <c r="Q87" s="6"/>
      <c r="R87" s="6"/>
      <c r="S87" t="str">
        <f>IF(N87&gt;0,COUNTIF($N$4:N87,"&gt;0"),"")</f>
        <v/>
      </c>
    </row>
    <row r="88" spans="1:19" x14ac:dyDescent="0.25">
      <c r="A88" s="15">
        <f>'PRESUPUESTO BASE'!A88</f>
        <v>0</v>
      </c>
      <c r="B88" s="15">
        <f>'PRESUPUESTO BASE'!B88</f>
        <v>0</v>
      </c>
      <c r="C88" s="15">
        <f>'PRESUPUESTO BASE'!D88</f>
        <v>0</v>
      </c>
      <c r="D88" s="15">
        <f>'PRESUPUESTO BASE'!E88</f>
        <v>0</v>
      </c>
      <c r="E88" s="16">
        <f>'PRESUPUESTO BASE'!F88</f>
        <v>0</v>
      </c>
      <c r="F88" s="17">
        <f>'PRESUPUESTO BASE'!G88</f>
        <v>0</v>
      </c>
      <c r="G88" s="17">
        <f>'PRESUPUESTO BASE'!H88</f>
        <v>0</v>
      </c>
      <c r="H88" s="18"/>
      <c r="I88" s="18"/>
      <c r="J88" s="12">
        <f t="shared" si="14"/>
        <v>0</v>
      </c>
      <c r="K88" s="19">
        <f t="shared" si="15"/>
        <v>0</v>
      </c>
      <c r="L88" s="19">
        <f t="shared" si="16"/>
        <v>0</v>
      </c>
      <c r="M88" s="11">
        <f t="shared" si="17"/>
        <v>0</v>
      </c>
      <c r="N88" s="11">
        <f t="shared" si="18"/>
        <v>0</v>
      </c>
      <c r="O88" s="11">
        <f t="shared" si="19"/>
        <v>0</v>
      </c>
      <c r="P88" s="11">
        <f t="shared" si="20"/>
        <v>0</v>
      </c>
      <c r="Q88" s="6"/>
      <c r="R88" s="6"/>
      <c r="S88" t="str">
        <f>IF(N88&gt;0,COUNTIF($N$4:N88,"&gt;0"),"")</f>
        <v/>
      </c>
    </row>
    <row r="89" spans="1:19" x14ac:dyDescent="0.25">
      <c r="A89" s="15">
        <f>'PRESUPUESTO BASE'!A89</f>
        <v>0</v>
      </c>
      <c r="B89" s="15">
        <f>'PRESUPUESTO BASE'!B89</f>
        <v>0</v>
      </c>
      <c r="C89" s="15">
        <f>'PRESUPUESTO BASE'!D89</f>
        <v>0</v>
      </c>
      <c r="D89" s="15">
        <f>'PRESUPUESTO BASE'!E89</f>
        <v>0</v>
      </c>
      <c r="E89" s="16">
        <f>'PRESUPUESTO BASE'!F89</f>
        <v>0</v>
      </c>
      <c r="F89" s="17">
        <f>'PRESUPUESTO BASE'!G89</f>
        <v>0</v>
      </c>
      <c r="G89" s="17">
        <f>'PRESUPUESTO BASE'!H89</f>
        <v>0</v>
      </c>
      <c r="H89" s="18"/>
      <c r="I89" s="18"/>
      <c r="J89" s="12">
        <f t="shared" si="14"/>
        <v>0</v>
      </c>
      <c r="K89" s="19">
        <f t="shared" si="15"/>
        <v>0</v>
      </c>
      <c r="L89" s="19">
        <f t="shared" si="16"/>
        <v>0</v>
      </c>
      <c r="M89" s="11">
        <f t="shared" si="17"/>
        <v>0</v>
      </c>
      <c r="N89" s="11">
        <f t="shared" si="18"/>
        <v>0</v>
      </c>
      <c r="O89" s="11">
        <f t="shared" si="19"/>
        <v>0</v>
      </c>
      <c r="P89" s="11">
        <f t="shared" si="20"/>
        <v>0</v>
      </c>
      <c r="Q89" s="6"/>
      <c r="R89" s="6"/>
      <c r="S89" t="str">
        <f>IF(N89&gt;0,COUNTIF($N$4:N89,"&gt;0"),"")</f>
        <v/>
      </c>
    </row>
    <row r="90" spans="1:19" x14ac:dyDescent="0.25">
      <c r="A90" s="15">
        <f>'PRESUPUESTO BASE'!A90</f>
        <v>0</v>
      </c>
      <c r="B90" s="15">
        <f>'PRESUPUESTO BASE'!B90</f>
        <v>0</v>
      </c>
      <c r="C90" s="15">
        <f>'PRESUPUESTO BASE'!D90</f>
        <v>0</v>
      </c>
      <c r="D90" s="15">
        <f>'PRESUPUESTO BASE'!E90</f>
        <v>0</v>
      </c>
      <c r="E90" s="16">
        <f>'PRESUPUESTO BASE'!F90</f>
        <v>0</v>
      </c>
      <c r="F90" s="17">
        <f>'PRESUPUESTO BASE'!G90</f>
        <v>0</v>
      </c>
      <c r="G90" s="17">
        <f>'PRESUPUESTO BASE'!H90</f>
        <v>0</v>
      </c>
      <c r="H90" s="18"/>
      <c r="I90" s="18"/>
      <c r="J90" s="12">
        <f t="shared" si="14"/>
        <v>0</v>
      </c>
      <c r="K90" s="19">
        <f t="shared" si="15"/>
        <v>0</v>
      </c>
      <c r="L90" s="19">
        <f t="shared" si="16"/>
        <v>0</v>
      </c>
      <c r="M90" s="11">
        <f t="shared" si="17"/>
        <v>0</v>
      </c>
      <c r="N90" s="11">
        <f t="shared" si="18"/>
        <v>0</v>
      </c>
      <c r="O90" s="11">
        <f t="shared" si="19"/>
        <v>0</v>
      </c>
      <c r="P90" s="11">
        <f t="shared" si="20"/>
        <v>0</v>
      </c>
      <c r="Q90" s="6"/>
      <c r="R90" s="6"/>
      <c r="S90" t="str">
        <f>IF(N90&gt;0,COUNTIF($N$4:N90,"&gt;0"),"")</f>
        <v/>
      </c>
    </row>
    <row r="91" spans="1:19" x14ac:dyDescent="0.25">
      <c r="A91" s="15">
        <f>'PRESUPUESTO BASE'!A91</f>
        <v>0</v>
      </c>
      <c r="B91" s="15">
        <f>'PRESUPUESTO BASE'!B91</f>
        <v>0</v>
      </c>
      <c r="C91" s="15">
        <f>'PRESUPUESTO BASE'!D91</f>
        <v>0</v>
      </c>
      <c r="D91" s="15">
        <f>'PRESUPUESTO BASE'!E91</f>
        <v>0</v>
      </c>
      <c r="E91" s="16">
        <f>'PRESUPUESTO BASE'!F91</f>
        <v>0</v>
      </c>
      <c r="F91" s="17">
        <f>'PRESUPUESTO BASE'!G91</f>
        <v>0</v>
      </c>
      <c r="G91" s="17">
        <f>'PRESUPUESTO BASE'!H91</f>
        <v>0</v>
      </c>
      <c r="H91" s="18"/>
      <c r="I91" s="18"/>
      <c r="J91" s="12">
        <f t="shared" si="14"/>
        <v>0</v>
      </c>
      <c r="K91" s="19">
        <f t="shared" si="15"/>
        <v>0</v>
      </c>
      <c r="L91" s="19">
        <f t="shared" si="16"/>
        <v>0</v>
      </c>
      <c r="M91" s="11">
        <f t="shared" si="17"/>
        <v>0</v>
      </c>
      <c r="N91" s="11">
        <f t="shared" si="18"/>
        <v>0</v>
      </c>
      <c r="O91" s="11">
        <f t="shared" si="19"/>
        <v>0</v>
      </c>
      <c r="P91" s="11">
        <f t="shared" si="20"/>
        <v>0</v>
      </c>
      <c r="Q91" s="6"/>
      <c r="R91" s="6"/>
      <c r="S91" t="str">
        <f>IF(N91&gt;0,COUNTIF($N$4:N91,"&gt;0"),"")</f>
        <v/>
      </c>
    </row>
    <row r="92" spans="1:19" x14ac:dyDescent="0.25">
      <c r="A92" s="15">
        <f>'PRESUPUESTO BASE'!A92</f>
        <v>0</v>
      </c>
      <c r="B92" s="15">
        <f>'PRESUPUESTO BASE'!B92</f>
        <v>0</v>
      </c>
      <c r="C92" s="15">
        <f>'PRESUPUESTO BASE'!D92</f>
        <v>0</v>
      </c>
      <c r="D92" s="15">
        <f>'PRESUPUESTO BASE'!E92</f>
        <v>0</v>
      </c>
      <c r="E92" s="16">
        <f>'PRESUPUESTO BASE'!F92</f>
        <v>0</v>
      </c>
      <c r="F92" s="17">
        <f>'PRESUPUESTO BASE'!G92</f>
        <v>0</v>
      </c>
      <c r="G92" s="17">
        <f>'PRESUPUESTO BASE'!H92</f>
        <v>0</v>
      </c>
      <c r="H92" s="18"/>
      <c r="I92" s="18"/>
      <c r="J92" s="12">
        <f t="shared" si="14"/>
        <v>0</v>
      </c>
      <c r="K92" s="19">
        <f t="shared" si="15"/>
        <v>0</v>
      </c>
      <c r="L92" s="19">
        <f t="shared" si="16"/>
        <v>0</v>
      </c>
      <c r="M92" s="11">
        <f t="shared" si="17"/>
        <v>0</v>
      </c>
      <c r="N92" s="11">
        <f t="shared" si="18"/>
        <v>0</v>
      </c>
      <c r="O92" s="11">
        <f t="shared" si="19"/>
        <v>0</v>
      </c>
      <c r="P92" s="11">
        <f t="shared" si="20"/>
        <v>0</v>
      </c>
      <c r="Q92" s="6"/>
      <c r="R92" s="6"/>
      <c r="S92" t="str">
        <f>IF(N92&gt;0,COUNTIF($N$4:N92,"&gt;0"),"")</f>
        <v/>
      </c>
    </row>
    <row r="93" spans="1:19" x14ac:dyDescent="0.25">
      <c r="A93" s="15">
        <f>'PRESUPUESTO BASE'!A93</f>
        <v>0</v>
      </c>
      <c r="B93" s="15">
        <f>'PRESUPUESTO BASE'!B93</f>
        <v>0</v>
      </c>
      <c r="C93" s="15">
        <f>'PRESUPUESTO BASE'!D93</f>
        <v>0</v>
      </c>
      <c r="D93" s="15">
        <f>'PRESUPUESTO BASE'!E93</f>
        <v>0</v>
      </c>
      <c r="E93" s="16">
        <f>'PRESUPUESTO BASE'!F93</f>
        <v>0</v>
      </c>
      <c r="F93" s="17">
        <f>'PRESUPUESTO BASE'!G93</f>
        <v>0</v>
      </c>
      <c r="G93" s="17">
        <f>'PRESUPUESTO BASE'!H93</f>
        <v>0</v>
      </c>
      <c r="H93" s="18"/>
      <c r="I93" s="18"/>
      <c r="J93" s="12">
        <f t="shared" si="14"/>
        <v>0</v>
      </c>
      <c r="K93" s="19">
        <f t="shared" si="15"/>
        <v>0</v>
      </c>
      <c r="L93" s="19">
        <f t="shared" si="16"/>
        <v>0</v>
      </c>
      <c r="M93" s="11">
        <f t="shared" si="17"/>
        <v>0</v>
      </c>
      <c r="N93" s="11">
        <f t="shared" si="18"/>
        <v>0</v>
      </c>
      <c r="O93" s="11">
        <f t="shared" si="19"/>
        <v>0</v>
      </c>
      <c r="P93" s="11">
        <f t="shared" si="20"/>
        <v>0</v>
      </c>
      <c r="Q93" s="6"/>
      <c r="R93" s="6"/>
      <c r="S93" t="str">
        <f>IF(N93&gt;0,COUNTIF($N$4:N93,"&gt;0"),"")</f>
        <v/>
      </c>
    </row>
    <row r="94" spans="1:19" x14ac:dyDescent="0.25">
      <c r="A94" s="15">
        <f>'PRESUPUESTO BASE'!A94</f>
        <v>0</v>
      </c>
      <c r="B94" s="15">
        <f>'PRESUPUESTO BASE'!B94</f>
        <v>0</v>
      </c>
      <c r="C94" s="15">
        <f>'PRESUPUESTO BASE'!D94</f>
        <v>0</v>
      </c>
      <c r="D94" s="15">
        <f>'PRESUPUESTO BASE'!E94</f>
        <v>0</v>
      </c>
      <c r="E94" s="16">
        <f>'PRESUPUESTO BASE'!F94</f>
        <v>0</v>
      </c>
      <c r="F94" s="17">
        <f>'PRESUPUESTO BASE'!G94</f>
        <v>0</v>
      </c>
      <c r="G94" s="17">
        <f>'PRESUPUESTO BASE'!H94</f>
        <v>0</v>
      </c>
      <c r="H94" s="18"/>
      <c r="I94" s="18"/>
      <c r="J94" s="12">
        <f t="shared" si="14"/>
        <v>0</v>
      </c>
      <c r="K94" s="19">
        <f t="shared" si="15"/>
        <v>0</v>
      </c>
      <c r="L94" s="19">
        <f t="shared" si="16"/>
        <v>0</v>
      </c>
      <c r="M94" s="11">
        <f t="shared" si="17"/>
        <v>0</v>
      </c>
      <c r="N94" s="11">
        <f t="shared" si="18"/>
        <v>0</v>
      </c>
      <c r="O94" s="11">
        <f t="shared" si="19"/>
        <v>0</v>
      </c>
      <c r="P94" s="11">
        <f t="shared" si="20"/>
        <v>0</v>
      </c>
      <c r="Q94" s="6"/>
      <c r="R94" s="6"/>
      <c r="S94" t="str">
        <f>IF(N94&gt;0,COUNTIF($N$4:N94,"&gt;0"),"")</f>
        <v/>
      </c>
    </row>
    <row r="95" spans="1:19" x14ac:dyDescent="0.25">
      <c r="A95" s="15">
        <f>'PRESUPUESTO BASE'!A95</f>
        <v>0</v>
      </c>
      <c r="B95" s="15">
        <f>'PRESUPUESTO BASE'!B95</f>
        <v>0</v>
      </c>
      <c r="C95" s="15">
        <f>'PRESUPUESTO BASE'!D95</f>
        <v>0</v>
      </c>
      <c r="D95" s="15">
        <f>'PRESUPUESTO BASE'!E95</f>
        <v>0</v>
      </c>
      <c r="E95" s="16">
        <f>'PRESUPUESTO BASE'!F95</f>
        <v>0</v>
      </c>
      <c r="F95" s="17">
        <f>'PRESUPUESTO BASE'!G95</f>
        <v>0</v>
      </c>
      <c r="G95" s="17">
        <f>'PRESUPUESTO BASE'!H95</f>
        <v>0</v>
      </c>
      <c r="H95" s="18"/>
      <c r="I95" s="18"/>
      <c r="J95" s="12">
        <f t="shared" si="14"/>
        <v>0</v>
      </c>
      <c r="K95" s="19">
        <f t="shared" si="15"/>
        <v>0</v>
      </c>
      <c r="L95" s="19">
        <f t="shared" si="16"/>
        <v>0</v>
      </c>
      <c r="M95" s="11">
        <f t="shared" si="17"/>
        <v>0</v>
      </c>
      <c r="N95" s="11">
        <f t="shared" si="18"/>
        <v>0</v>
      </c>
      <c r="O95" s="11">
        <f t="shared" si="19"/>
        <v>0</v>
      </c>
      <c r="P95" s="11">
        <f t="shared" si="20"/>
        <v>0</v>
      </c>
      <c r="Q95" s="6"/>
      <c r="R95" s="6"/>
      <c r="S95" t="str">
        <f>IF(N95&gt;0,COUNTIF($N$4:N95,"&gt;0"),"")</f>
        <v/>
      </c>
    </row>
    <row r="96" spans="1:19" x14ac:dyDescent="0.25">
      <c r="A96" s="15">
        <f>'PRESUPUESTO BASE'!A96</f>
        <v>0</v>
      </c>
      <c r="B96" s="15">
        <f>'PRESUPUESTO BASE'!B96</f>
        <v>0</v>
      </c>
      <c r="C96" s="15">
        <f>'PRESUPUESTO BASE'!D96</f>
        <v>0</v>
      </c>
      <c r="D96" s="15">
        <f>'PRESUPUESTO BASE'!E96</f>
        <v>0</v>
      </c>
      <c r="E96" s="16">
        <f>'PRESUPUESTO BASE'!F96</f>
        <v>0</v>
      </c>
      <c r="F96" s="17">
        <f>'PRESUPUESTO BASE'!G96</f>
        <v>0</v>
      </c>
      <c r="G96" s="17">
        <f>'PRESUPUESTO BASE'!H96</f>
        <v>0</v>
      </c>
      <c r="H96" s="18"/>
      <c r="I96" s="18"/>
      <c r="J96" s="12">
        <f t="shared" si="14"/>
        <v>0</v>
      </c>
      <c r="K96" s="19">
        <f t="shared" si="15"/>
        <v>0</v>
      </c>
      <c r="L96" s="19">
        <f t="shared" si="16"/>
        <v>0</v>
      </c>
      <c r="M96" s="11">
        <f t="shared" si="17"/>
        <v>0</v>
      </c>
      <c r="N96" s="11">
        <f t="shared" si="18"/>
        <v>0</v>
      </c>
      <c r="O96" s="11">
        <f t="shared" si="19"/>
        <v>0</v>
      </c>
      <c r="P96" s="11">
        <f t="shared" si="20"/>
        <v>0</v>
      </c>
      <c r="Q96" s="6"/>
      <c r="R96" s="6"/>
      <c r="S96" t="str">
        <f>IF(N96&gt;0,COUNTIF($N$4:N96,"&gt;0"),"")</f>
        <v/>
      </c>
    </row>
    <row r="97" spans="1:19" x14ac:dyDescent="0.25">
      <c r="A97" s="15">
        <f>'PRESUPUESTO BASE'!A97</f>
        <v>0</v>
      </c>
      <c r="B97" s="15">
        <f>'PRESUPUESTO BASE'!B97</f>
        <v>0</v>
      </c>
      <c r="C97" s="15">
        <f>'PRESUPUESTO BASE'!D97</f>
        <v>0</v>
      </c>
      <c r="D97" s="15">
        <f>'PRESUPUESTO BASE'!E97</f>
        <v>0</v>
      </c>
      <c r="E97" s="16">
        <f>'PRESUPUESTO BASE'!F97</f>
        <v>0</v>
      </c>
      <c r="F97" s="17">
        <f>'PRESUPUESTO BASE'!G97</f>
        <v>0</v>
      </c>
      <c r="G97" s="17">
        <f>'PRESUPUESTO BASE'!H97</f>
        <v>0</v>
      </c>
      <c r="H97" s="18"/>
      <c r="I97" s="18"/>
      <c r="J97" s="12">
        <f t="shared" si="14"/>
        <v>0</v>
      </c>
      <c r="K97" s="19">
        <f t="shared" si="15"/>
        <v>0</v>
      </c>
      <c r="L97" s="19">
        <f t="shared" si="16"/>
        <v>0</v>
      </c>
      <c r="M97" s="11">
        <f t="shared" si="17"/>
        <v>0</v>
      </c>
      <c r="N97" s="11">
        <f t="shared" si="18"/>
        <v>0</v>
      </c>
      <c r="O97" s="11">
        <f t="shared" si="19"/>
        <v>0</v>
      </c>
      <c r="P97" s="11">
        <f t="shared" si="20"/>
        <v>0</v>
      </c>
      <c r="Q97" s="6"/>
      <c r="R97" s="6"/>
      <c r="S97" t="str">
        <f>IF(N97&gt;0,COUNTIF($N$4:N97,"&gt;0"),"")</f>
        <v/>
      </c>
    </row>
    <row r="98" spans="1:19" x14ac:dyDescent="0.25">
      <c r="A98" s="15">
        <f>'PRESUPUESTO BASE'!A98</f>
        <v>0</v>
      </c>
      <c r="B98" s="15">
        <f>'PRESUPUESTO BASE'!B98</f>
        <v>0</v>
      </c>
      <c r="C98" s="15">
        <f>'PRESUPUESTO BASE'!D98</f>
        <v>0</v>
      </c>
      <c r="D98" s="15">
        <f>'PRESUPUESTO BASE'!E98</f>
        <v>0</v>
      </c>
      <c r="E98" s="16">
        <f>'PRESUPUESTO BASE'!F98</f>
        <v>0</v>
      </c>
      <c r="F98" s="17">
        <f>'PRESUPUESTO BASE'!G98</f>
        <v>0</v>
      </c>
      <c r="G98" s="17">
        <f>'PRESUPUESTO BASE'!H98</f>
        <v>0</v>
      </c>
      <c r="H98" s="18"/>
      <c r="I98" s="18"/>
      <c r="J98" s="12">
        <f t="shared" si="14"/>
        <v>0</v>
      </c>
      <c r="K98" s="19">
        <f t="shared" si="15"/>
        <v>0</v>
      </c>
      <c r="L98" s="19">
        <f t="shared" si="16"/>
        <v>0</v>
      </c>
      <c r="M98" s="11">
        <f t="shared" si="17"/>
        <v>0</v>
      </c>
      <c r="N98" s="11">
        <f t="shared" si="18"/>
        <v>0</v>
      </c>
      <c r="O98" s="11">
        <f t="shared" si="19"/>
        <v>0</v>
      </c>
      <c r="P98" s="11">
        <f t="shared" si="20"/>
        <v>0</v>
      </c>
      <c r="Q98" s="6"/>
      <c r="R98" s="6"/>
      <c r="S98" t="str">
        <f>IF(N98&gt;0,COUNTIF($N$4:N98,"&gt;0"),"")</f>
        <v/>
      </c>
    </row>
    <row r="99" spans="1:19" x14ac:dyDescent="0.25">
      <c r="A99" s="15">
        <f>'PRESUPUESTO BASE'!A99</f>
        <v>0</v>
      </c>
      <c r="B99" s="15">
        <f>'PRESUPUESTO BASE'!B99</f>
        <v>0</v>
      </c>
      <c r="C99" s="15">
        <f>'PRESUPUESTO BASE'!D99</f>
        <v>0</v>
      </c>
      <c r="D99" s="15">
        <f>'PRESUPUESTO BASE'!E99</f>
        <v>0</v>
      </c>
      <c r="E99" s="16">
        <f>'PRESUPUESTO BASE'!F99</f>
        <v>0</v>
      </c>
      <c r="F99" s="17">
        <f>'PRESUPUESTO BASE'!G99</f>
        <v>0</v>
      </c>
      <c r="G99" s="17">
        <f>'PRESUPUESTO BASE'!H99</f>
        <v>0</v>
      </c>
      <c r="H99" s="18"/>
      <c r="I99" s="18"/>
      <c r="J99" s="12">
        <f t="shared" si="14"/>
        <v>0</v>
      </c>
      <c r="K99" s="19">
        <f t="shared" si="15"/>
        <v>0</v>
      </c>
      <c r="L99" s="19">
        <f t="shared" si="16"/>
        <v>0</v>
      </c>
      <c r="M99" s="11">
        <f t="shared" si="17"/>
        <v>0</v>
      </c>
      <c r="N99" s="11">
        <f t="shared" si="18"/>
        <v>0</v>
      </c>
      <c r="O99" s="11">
        <f t="shared" si="19"/>
        <v>0</v>
      </c>
      <c r="P99" s="11">
        <f t="shared" si="20"/>
        <v>0</v>
      </c>
      <c r="Q99" s="6"/>
      <c r="R99" s="6"/>
      <c r="S99" t="str">
        <f>IF(N99&gt;0,COUNTIF($N$4:N99,"&gt;0"),"")</f>
        <v/>
      </c>
    </row>
    <row r="100" spans="1:19" x14ac:dyDescent="0.25">
      <c r="A100" s="15">
        <f>'PRESUPUESTO BASE'!A100</f>
        <v>0</v>
      </c>
      <c r="B100" s="15">
        <f>'PRESUPUESTO BASE'!B100</f>
        <v>0</v>
      </c>
      <c r="C100" s="15">
        <f>'PRESUPUESTO BASE'!D100</f>
        <v>0</v>
      </c>
      <c r="D100" s="15">
        <f>'PRESUPUESTO BASE'!E100</f>
        <v>0</v>
      </c>
      <c r="E100" s="16">
        <f>'PRESUPUESTO BASE'!F100</f>
        <v>0</v>
      </c>
      <c r="F100" s="17">
        <f>'PRESUPUESTO BASE'!G100</f>
        <v>0</v>
      </c>
      <c r="G100" s="17">
        <f>'PRESUPUESTO BASE'!H100</f>
        <v>0</v>
      </c>
      <c r="H100" s="18"/>
      <c r="I100" s="18"/>
      <c r="J100" s="12">
        <f t="shared" ref="J100:J103" si="21">MIN(1,H100+I100)</f>
        <v>0</v>
      </c>
      <c r="K100" s="19">
        <f t="shared" si="15"/>
        <v>0</v>
      </c>
      <c r="L100" s="19">
        <f t="shared" si="16"/>
        <v>0</v>
      </c>
      <c r="M100" s="11">
        <f t="shared" si="17"/>
        <v>0</v>
      </c>
      <c r="N100" s="11">
        <f t="shared" si="18"/>
        <v>0</v>
      </c>
      <c r="O100" s="11">
        <f t="shared" si="19"/>
        <v>0</v>
      </c>
      <c r="P100" s="11">
        <f t="shared" ref="P100:P103" si="22">G100-O100</f>
        <v>0</v>
      </c>
      <c r="Q100" s="6"/>
      <c r="R100" s="6"/>
      <c r="S100" t="str">
        <f>IF(N100&gt;0,COUNTIF($N$4:N100,"&gt;0"),"")</f>
        <v/>
      </c>
    </row>
    <row r="101" spans="1:19" x14ac:dyDescent="0.25">
      <c r="A101" s="15">
        <f>'PRESUPUESTO BASE'!A101</f>
        <v>0</v>
      </c>
      <c r="B101" s="15">
        <f>'PRESUPUESTO BASE'!B101</f>
        <v>0</v>
      </c>
      <c r="C101" s="15">
        <f>'PRESUPUESTO BASE'!D101</f>
        <v>0</v>
      </c>
      <c r="D101" s="15">
        <f>'PRESUPUESTO BASE'!E101</f>
        <v>0</v>
      </c>
      <c r="E101" s="16">
        <f>'PRESUPUESTO BASE'!F101</f>
        <v>0</v>
      </c>
      <c r="F101" s="17">
        <f>'PRESUPUESTO BASE'!G101</f>
        <v>0</v>
      </c>
      <c r="G101" s="17">
        <f>'PRESUPUESTO BASE'!H101</f>
        <v>0</v>
      </c>
      <c r="H101" s="18"/>
      <c r="I101" s="18"/>
      <c r="J101" s="12">
        <f t="shared" si="21"/>
        <v>0</v>
      </c>
      <c r="K101" s="19">
        <f t="shared" si="15"/>
        <v>0</v>
      </c>
      <c r="L101" s="19">
        <f t="shared" si="16"/>
        <v>0</v>
      </c>
      <c r="M101" s="11">
        <f t="shared" si="17"/>
        <v>0</v>
      </c>
      <c r="N101" s="11">
        <f t="shared" si="18"/>
        <v>0</v>
      </c>
      <c r="O101" s="11">
        <f t="shared" si="19"/>
        <v>0</v>
      </c>
      <c r="P101" s="11">
        <f t="shared" si="22"/>
        <v>0</v>
      </c>
      <c r="Q101" s="6"/>
      <c r="R101" s="6"/>
      <c r="S101" t="str">
        <f>IF(N101&gt;0,COUNTIF($N$4:N101,"&gt;0"),"")</f>
        <v/>
      </c>
    </row>
    <row r="102" spans="1:19" x14ac:dyDescent="0.25">
      <c r="A102" s="15">
        <f>'PRESUPUESTO BASE'!A102</f>
        <v>0</v>
      </c>
      <c r="B102" s="15">
        <f>'PRESUPUESTO BASE'!B102</f>
        <v>0</v>
      </c>
      <c r="C102" s="15">
        <f>'PRESUPUESTO BASE'!D102</f>
        <v>0</v>
      </c>
      <c r="D102" s="15">
        <f>'PRESUPUESTO BASE'!E102</f>
        <v>0</v>
      </c>
      <c r="E102" s="16">
        <f>'PRESUPUESTO BASE'!F102</f>
        <v>0</v>
      </c>
      <c r="F102" s="17">
        <f>'PRESUPUESTO BASE'!G102</f>
        <v>0</v>
      </c>
      <c r="G102" s="17">
        <f>'PRESUPUESTO BASE'!H102</f>
        <v>0</v>
      </c>
      <c r="H102" s="18"/>
      <c r="I102" s="18"/>
      <c r="J102" s="12">
        <f t="shared" si="21"/>
        <v>0</v>
      </c>
      <c r="K102" s="19">
        <f t="shared" si="15"/>
        <v>0</v>
      </c>
      <c r="L102" s="19">
        <f t="shared" si="16"/>
        <v>0</v>
      </c>
      <c r="M102" s="11">
        <f t="shared" si="17"/>
        <v>0</v>
      </c>
      <c r="N102" s="11">
        <f t="shared" si="18"/>
        <v>0</v>
      </c>
      <c r="O102" s="11">
        <f t="shared" si="19"/>
        <v>0</v>
      </c>
      <c r="P102" s="11">
        <f t="shared" si="22"/>
        <v>0</v>
      </c>
      <c r="Q102" s="6"/>
      <c r="R102" s="6"/>
      <c r="S102" t="str">
        <f>IF(N102&gt;0,COUNTIF($N$4:N102,"&gt;0"),"")</f>
        <v/>
      </c>
    </row>
    <row r="103" spans="1:19" x14ac:dyDescent="0.25">
      <c r="A103" s="15">
        <f>'PRESUPUESTO BASE'!A103</f>
        <v>0</v>
      </c>
      <c r="B103" s="15">
        <f>'PRESUPUESTO BASE'!B103</f>
        <v>0</v>
      </c>
      <c r="C103" s="15">
        <f>'PRESUPUESTO BASE'!D103</f>
        <v>0</v>
      </c>
      <c r="D103" s="15">
        <f>'PRESUPUESTO BASE'!E103</f>
        <v>0</v>
      </c>
      <c r="E103" s="16">
        <f>'PRESUPUESTO BASE'!F103</f>
        <v>0</v>
      </c>
      <c r="F103" s="17">
        <f>'PRESUPUESTO BASE'!G103</f>
        <v>0</v>
      </c>
      <c r="G103" s="17">
        <f>'PRESUPUESTO BASE'!H103</f>
        <v>0</v>
      </c>
      <c r="H103" s="18"/>
      <c r="I103" s="18"/>
      <c r="J103" s="12">
        <f t="shared" si="21"/>
        <v>0</v>
      </c>
      <c r="K103" s="19">
        <f t="shared" si="15"/>
        <v>0</v>
      </c>
      <c r="L103" s="19">
        <f t="shared" si="16"/>
        <v>0</v>
      </c>
      <c r="M103" s="11">
        <f t="shared" si="17"/>
        <v>0</v>
      </c>
      <c r="N103" s="11">
        <f t="shared" si="18"/>
        <v>0</v>
      </c>
      <c r="O103" s="11">
        <f t="shared" si="19"/>
        <v>0</v>
      </c>
      <c r="P103" s="11">
        <f t="shared" si="22"/>
        <v>0</v>
      </c>
      <c r="Q103" s="6"/>
      <c r="R103" s="6"/>
      <c r="S103" t="str">
        <f>IF(N103&gt;0,COUNTIF($N$4:N103,"&gt;0"),"")</f>
        <v/>
      </c>
    </row>
    <row r="105" spans="1:19" x14ac:dyDescent="0.25">
      <c r="N105" s="14">
        <f>SUM(N4:N103)</f>
        <v>23530</v>
      </c>
      <c r="O105" s="14">
        <f>SUM(O4:O103)</f>
        <v>35839</v>
      </c>
      <c r="P105" s="14">
        <f>SUM(P4:P103)</f>
        <v>96661</v>
      </c>
    </row>
  </sheetData>
  <conditionalFormatting sqref="I4:I103">
    <cfRule type="cellIs" dxfId="1" priority="1" operator="equal">
      <formula>0</formula>
    </cfRule>
  </conditionalFormatting>
  <conditionalFormatting sqref="J4:J103">
    <cfRule type="cellIs" dxfId="0" priority="2" operator="equal">
      <formula>1</formula>
    </cfRule>
  </conditionalFormatting>
  <dataValidations count="1">
    <dataValidation type="list"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xr:uid="{00000000-0002-0000-0300-000000000000}">
      <formula1>lstEstadosVal</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3"/>
  <sheetViews>
    <sheetView showGridLines="0" workbookViewId="0">
      <pane ySplit="3" topLeftCell="A4" activePane="bottomLeft" state="frozen"/>
      <selection pane="bottomLeft" activeCell="N13" sqref="N13"/>
    </sheetView>
  </sheetViews>
  <sheetFormatPr baseColWidth="10" defaultColWidth="9.140625" defaultRowHeight="15" x14ac:dyDescent="0.25"/>
  <cols>
    <col min="1" max="1" width="7" customWidth="1"/>
    <col min="2" max="3" width="12" customWidth="1"/>
    <col min="4" max="4" width="30" customWidth="1"/>
    <col min="5" max="5" width="20" customWidth="1"/>
    <col min="6" max="7" width="10" customWidth="1"/>
    <col min="8" max="9" width="14" customWidth="1"/>
    <col min="10" max="11" width="12" customWidth="1"/>
    <col min="12" max="12" width="24" customWidth="1"/>
  </cols>
  <sheetData>
    <row r="1" spans="1:12" ht="18.75" x14ac:dyDescent="0.3">
      <c r="A1" s="1" t="s">
        <v>121</v>
      </c>
    </row>
    <row r="3" spans="1:12" x14ac:dyDescent="0.25">
      <c r="A3" s="9" t="s">
        <v>69</v>
      </c>
      <c r="B3" s="9" t="s">
        <v>44</v>
      </c>
      <c r="C3" s="9" t="s">
        <v>122</v>
      </c>
      <c r="D3" s="9" t="s">
        <v>123</v>
      </c>
      <c r="E3" s="9" t="s">
        <v>124</v>
      </c>
      <c r="F3" s="9" t="s">
        <v>71</v>
      </c>
      <c r="G3" s="9" t="s">
        <v>125</v>
      </c>
      <c r="H3" s="9" t="s">
        <v>73</v>
      </c>
      <c r="I3" s="9" t="s">
        <v>126</v>
      </c>
      <c r="J3" s="9" t="s">
        <v>119</v>
      </c>
      <c r="K3" s="9" t="s">
        <v>127</v>
      </c>
      <c r="L3" s="9" t="s">
        <v>77</v>
      </c>
    </row>
    <row r="4" spans="1:12" x14ac:dyDescent="0.25">
      <c r="A4" s="6">
        <v>1</v>
      </c>
      <c r="B4" s="6" t="s">
        <v>128</v>
      </c>
      <c r="C4" s="6" t="s">
        <v>24</v>
      </c>
      <c r="D4" s="6" t="s">
        <v>129</v>
      </c>
      <c r="E4" s="6" t="s">
        <v>130</v>
      </c>
      <c r="F4" s="6" t="s">
        <v>17</v>
      </c>
      <c r="G4" s="6">
        <v>1</v>
      </c>
      <c r="H4" s="7">
        <v>3200</v>
      </c>
      <c r="I4" s="11">
        <f t="shared" ref="I4:I35" si="0">G4*H4</f>
        <v>3200</v>
      </c>
      <c r="J4" s="6" t="s">
        <v>9</v>
      </c>
      <c r="K4" s="8" t="s">
        <v>131</v>
      </c>
      <c r="L4" s="6"/>
    </row>
    <row r="5" spans="1:12" x14ac:dyDescent="0.25">
      <c r="A5" s="6">
        <v>2</v>
      </c>
      <c r="B5" s="6" t="s">
        <v>132</v>
      </c>
      <c r="C5" s="6" t="s">
        <v>25</v>
      </c>
      <c r="D5" s="6" t="s">
        <v>133</v>
      </c>
      <c r="E5" s="6" t="s">
        <v>134</v>
      </c>
      <c r="F5" s="6" t="s">
        <v>14</v>
      </c>
      <c r="G5" s="6">
        <v>12</v>
      </c>
      <c r="H5" s="7">
        <v>95</v>
      </c>
      <c r="I5" s="11">
        <f t="shared" si="0"/>
        <v>1140</v>
      </c>
      <c r="J5" s="6" t="s">
        <v>9</v>
      </c>
      <c r="K5" s="8" t="s">
        <v>135</v>
      </c>
      <c r="L5" s="6"/>
    </row>
    <row r="6" spans="1:12" x14ac:dyDescent="0.25">
      <c r="A6" s="6"/>
      <c r="B6" s="6"/>
      <c r="C6" s="6"/>
      <c r="D6" s="6"/>
      <c r="E6" s="6"/>
      <c r="F6" s="6"/>
      <c r="G6" s="6"/>
      <c r="H6" s="7"/>
      <c r="I6" s="11">
        <f t="shared" si="0"/>
        <v>0</v>
      </c>
      <c r="J6" s="6"/>
      <c r="K6" s="8"/>
      <c r="L6" s="6"/>
    </row>
    <row r="7" spans="1:12" x14ac:dyDescent="0.25">
      <c r="A7" s="6"/>
      <c r="B7" s="6"/>
      <c r="C7" s="6"/>
      <c r="D7" s="6"/>
      <c r="E7" s="6"/>
      <c r="F7" s="6"/>
      <c r="G7" s="6"/>
      <c r="H7" s="7"/>
      <c r="I7" s="11">
        <f t="shared" si="0"/>
        <v>0</v>
      </c>
      <c r="J7" s="6"/>
      <c r="K7" s="8"/>
      <c r="L7" s="6"/>
    </row>
    <row r="8" spans="1:12" x14ac:dyDescent="0.25">
      <c r="A8" s="6"/>
      <c r="B8" s="6"/>
      <c r="C8" s="6"/>
      <c r="D8" s="6"/>
      <c r="E8" s="6"/>
      <c r="F8" s="6"/>
      <c r="G8" s="6"/>
      <c r="H8" s="7"/>
      <c r="I8" s="11">
        <f t="shared" si="0"/>
        <v>0</v>
      </c>
      <c r="J8" s="6"/>
      <c r="K8" s="8"/>
      <c r="L8" s="6"/>
    </row>
    <row r="9" spans="1:12" x14ac:dyDescent="0.25">
      <c r="A9" s="6"/>
      <c r="B9" s="6"/>
      <c r="C9" s="6"/>
      <c r="D9" s="6"/>
      <c r="E9" s="6"/>
      <c r="F9" s="6"/>
      <c r="G9" s="6"/>
      <c r="H9" s="7"/>
      <c r="I9" s="11">
        <f t="shared" si="0"/>
        <v>0</v>
      </c>
      <c r="J9" s="6"/>
      <c r="K9" s="8"/>
      <c r="L9" s="6"/>
    </row>
    <row r="10" spans="1:12" x14ac:dyDescent="0.25">
      <c r="A10" s="6"/>
      <c r="B10" s="6"/>
      <c r="C10" s="6"/>
      <c r="D10" s="6"/>
      <c r="E10" s="6"/>
      <c r="F10" s="6"/>
      <c r="G10" s="6"/>
      <c r="H10" s="7"/>
      <c r="I10" s="11">
        <f t="shared" si="0"/>
        <v>0</v>
      </c>
      <c r="J10" s="6"/>
      <c r="K10" s="8"/>
      <c r="L10" s="6"/>
    </row>
    <row r="11" spans="1:12" x14ac:dyDescent="0.25">
      <c r="A11" s="6"/>
      <c r="B11" s="6"/>
      <c r="C11" s="6"/>
      <c r="D11" s="6"/>
      <c r="E11" s="6"/>
      <c r="F11" s="6"/>
      <c r="G11" s="6"/>
      <c r="H11" s="7"/>
      <c r="I11" s="11">
        <f t="shared" si="0"/>
        <v>0</v>
      </c>
      <c r="J11" s="6"/>
      <c r="K11" s="8"/>
      <c r="L11" s="6"/>
    </row>
    <row r="12" spans="1:12" x14ac:dyDescent="0.25">
      <c r="A12" s="6"/>
      <c r="B12" s="6"/>
      <c r="C12" s="6"/>
      <c r="D12" s="6"/>
      <c r="E12" s="6"/>
      <c r="F12" s="6"/>
      <c r="G12" s="6"/>
      <c r="H12" s="7"/>
      <c r="I12" s="11">
        <f t="shared" si="0"/>
        <v>0</v>
      </c>
      <c r="J12" s="6"/>
      <c r="K12" s="8"/>
      <c r="L12" s="6"/>
    </row>
    <row r="13" spans="1:12" x14ac:dyDescent="0.25">
      <c r="A13" s="6"/>
      <c r="B13" s="6"/>
      <c r="C13" s="6"/>
      <c r="D13" s="6"/>
      <c r="E13" s="6"/>
      <c r="F13" s="6"/>
      <c r="G13" s="6"/>
      <c r="H13" s="7"/>
      <c r="I13" s="11">
        <f t="shared" si="0"/>
        <v>0</v>
      </c>
      <c r="J13" s="6"/>
      <c r="K13" s="8"/>
      <c r="L13" s="6"/>
    </row>
    <row r="14" spans="1:12" x14ac:dyDescent="0.25">
      <c r="A14" s="6"/>
      <c r="B14" s="6"/>
      <c r="C14" s="6"/>
      <c r="D14" s="6"/>
      <c r="E14" s="6"/>
      <c r="F14" s="6"/>
      <c r="G14" s="6"/>
      <c r="H14" s="7"/>
      <c r="I14" s="11">
        <f t="shared" si="0"/>
        <v>0</v>
      </c>
      <c r="J14" s="6"/>
      <c r="K14" s="8"/>
      <c r="L14" s="6"/>
    </row>
    <row r="15" spans="1:12" x14ac:dyDescent="0.25">
      <c r="A15" s="6"/>
      <c r="B15" s="6"/>
      <c r="C15" s="6"/>
      <c r="D15" s="6"/>
      <c r="E15" s="6"/>
      <c r="F15" s="6"/>
      <c r="G15" s="6"/>
      <c r="H15" s="7"/>
      <c r="I15" s="11">
        <f t="shared" si="0"/>
        <v>0</v>
      </c>
      <c r="J15" s="6"/>
      <c r="K15" s="8"/>
      <c r="L15" s="6"/>
    </row>
    <row r="16" spans="1:12" x14ac:dyDescent="0.25">
      <c r="A16" s="6"/>
      <c r="B16" s="6"/>
      <c r="C16" s="6"/>
      <c r="D16" s="6"/>
      <c r="E16" s="6"/>
      <c r="F16" s="6"/>
      <c r="G16" s="6"/>
      <c r="H16" s="7"/>
      <c r="I16" s="11">
        <f t="shared" si="0"/>
        <v>0</v>
      </c>
      <c r="J16" s="6"/>
      <c r="K16" s="8"/>
      <c r="L16" s="6"/>
    </row>
    <row r="17" spans="1:12" x14ac:dyDescent="0.25">
      <c r="A17" s="6"/>
      <c r="B17" s="6"/>
      <c r="C17" s="6"/>
      <c r="D17" s="6"/>
      <c r="E17" s="6"/>
      <c r="F17" s="6"/>
      <c r="G17" s="6"/>
      <c r="H17" s="7"/>
      <c r="I17" s="11">
        <f t="shared" si="0"/>
        <v>0</v>
      </c>
      <c r="J17" s="6"/>
      <c r="K17" s="8"/>
      <c r="L17" s="6"/>
    </row>
    <row r="18" spans="1:12" x14ac:dyDescent="0.25">
      <c r="A18" s="6"/>
      <c r="B18" s="6"/>
      <c r="C18" s="6"/>
      <c r="D18" s="6"/>
      <c r="E18" s="6"/>
      <c r="F18" s="6"/>
      <c r="G18" s="6"/>
      <c r="H18" s="7"/>
      <c r="I18" s="11">
        <f t="shared" si="0"/>
        <v>0</v>
      </c>
      <c r="J18" s="6"/>
      <c r="K18" s="8"/>
      <c r="L18" s="6"/>
    </row>
    <row r="19" spans="1:12" x14ac:dyDescent="0.25">
      <c r="A19" s="6"/>
      <c r="B19" s="6"/>
      <c r="C19" s="6"/>
      <c r="D19" s="6"/>
      <c r="E19" s="6"/>
      <c r="F19" s="6"/>
      <c r="G19" s="6"/>
      <c r="H19" s="7"/>
      <c r="I19" s="11">
        <f t="shared" si="0"/>
        <v>0</v>
      </c>
      <c r="J19" s="6"/>
      <c r="K19" s="8"/>
      <c r="L19" s="6"/>
    </row>
    <row r="20" spans="1:12" x14ac:dyDescent="0.25">
      <c r="A20" s="6"/>
      <c r="B20" s="6"/>
      <c r="C20" s="6"/>
      <c r="D20" s="6"/>
      <c r="E20" s="6"/>
      <c r="F20" s="6"/>
      <c r="G20" s="6"/>
      <c r="H20" s="7"/>
      <c r="I20" s="11">
        <f t="shared" si="0"/>
        <v>0</v>
      </c>
      <c r="J20" s="6"/>
      <c r="K20" s="8"/>
      <c r="L20" s="6"/>
    </row>
    <row r="21" spans="1:12" x14ac:dyDescent="0.25">
      <c r="A21" s="6"/>
      <c r="B21" s="6"/>
      <c r="C21" s="6"/>
      <c r="D21" s="6"/>
      <c r="E21" s="6"/>
      <c r="F21" s="6"/>
      <c r="G21" s="6"/>
      <c r="H21" s="7"/>
      <c r="I21" s="11">
        <f t="shared" si="0"/>
        <v>0</v>
      </c>
      <c r="J21" s="6"/>
      <c r="K21" s="8"/>
      <c r="L21" s="6"/>
    </row>
    <row r="22" spans="1:12" x14ac:dyDescent="0.25">
      <c r="A22" s="6"/>
      <c r="B22" s="6"/>
      <c r="C22" s="6"/>
      <c r="D22" s="6"/>
      <c r="E22" s="6"/>
      <c r="F22" s="6"/>
      <c r="G22" s="6"/>
      <c r="H22" s="7"/>
      <c r="I22" s="11">
        <f t="shared" si="0"/>
        <v>0</v>
      </c>
      <c r="J22" s="6"/>
      <c r="K22" s="8"/>
      <c r="L22" s="6"/>
    </row>
    <row r="23" spans="1:12" x14ac:dyDescent="0.25">
      <c r="A23" s="6"/>
      <c r="B23" s="6"/>
      <c r="C23" s="6"/>
      <c r="D23" s="6"/>
      <c r="E23" s="6"/>
      <c r="F23" s="6"/>
      <c r="G23" s="6"/>
      <c r="H23" s="7"/>
      <c r="I23" s="11">
        <f t="shared" si="0"/>
        <v>0</v>
      </c>
      <c r="J23" s="6"/>
      <c r="K23" s="8"/>
      <c r="L23" s="6"/>
    </row>
    <row r="24" spans="1:12" x14ac:dyDescent="0.25">
      <c r="A24" s="6"/>
      <c r="B24" s="6"/>
      <c r="C24" s="6"/>
      <c r="D24" s="6"/>
      <c r="E24" s="6"/>
      <c r="F24" s="6"/>
      <c r="G24" s="6"/>
      <c r="H24" s="7"/>
      <c r="I24" s="11">
        <f t="shared" si="0"/>
        <v>0</v>
      </c>
      <c r="J24" s="6"/>
      <c r="K24" s="8"/>
      <c r="L24" s="6"/>
    </row>
    <row r="25" spans="1:12" x14ac:dyDescent="0.25">
      <c r="A25" s="6"/>
      <c r="B25" s="6"/>
      <c r="C25" s="6"/>
      <c r="D25" s="6"/>
      <c r="E25" s="6"/>
      <c r="F25" s="6"/>
      <c r="G25" s="6"/>
      <c r="H25" s="7"/>
      <c r="I25" s="11">
        <f t="shared" si="0"/>
        <v>0</v>
      </c>
      <c r="J25" s="6"/>
      <c r="K25" s="8"/>
      <c r="L25" s="6"/>
    </row>
    <row r="26" spans="1:12" x14ac:dyDescent="0.25">
      <c r="A26" s="6"/>
      <c r="B26" s="6"/>
      <c r="C26" s="6"/>
      <c r="D26" s="6"/>
      <c r="E26" s="6"/>
      <c r="F26" s="6"/>
      <c r="G26" s="6"/>
      <c r="H26" s="7"/>
      <c r="I26" s="11">
        <f t="shared" si="0"/>
        <v>0</v>
      </c>
      <c r="J26" s="6"/>
      <c r="K26" s="8"/>
      <c r="L26" s="6"/>
    </row>
    <row r="27" spans="1:12" x14ac:dyDescent="0.25">
      <c r="A27" s="6"/>
      <c r="B27" s="6"/>
      <c r="C27" s="6"/>
      <c r="D27" s="6"/>
      <c r="E27" s="6"/>
      <c r="F27" s="6"/>
      <c r="G27" s="6"/>
      <c r="H27" s="7"/>
      <c r="I27" s="11">
        <f t="shared" si="0"/>
        <v>0</v>
      </c>
      <c r="J27" s="6"/>
      <c r="K27" s="8"/>
      <c r="L27" s="6"/>
    </row>
    <row r="28" spans="1:12" x14ac:dyDescent="0.25">
      <c r="A28" s="6"/>
      <c r="B28" s="6"/>
      <c r="C28" s="6"/>
      <c r="D28" s="6"/>
      <c r="E28" s="6"/>
      <c r="F28" s="6"/>
      <c r="G28" s="6"/>
      <c r="H28" s="7"/>
      <c r="I28" s="11">
        <f t="shared" si="0"/>
        <v>0</v>
      </c>
      <c r="J28" s="6"/>
      <c r="K28" s="8"/>
      <c r="L28" s="6"/>
    </row>
    <row r="29" spans="1:12" x14ac:dyDescent="0.25">
      <c r="A29" s="6"/>
      <c r="B29" s="6"/>
      <c r="C29" s="6"/>
      <c r="D29" s="6"/>
      <c r="E29" s="6"/>
      <c r="F29" s="6"/>
      <c r="G29" s="6"/>
      <c r="H29" s="7"/>
      <c r="I29" s="11">
        <f t="shared" si="0"/>
        <v>0</v>
      </c>
      <c r="J29" s="6"/>
      <c r="K29" s="8"/>
      <c r="L29" s="6"/>
    </row>
    <row r="30" spans="1:12" x14ac:dyDescent="0.25">
      <c r="A30" s="6"/>
      <c r="B30" s="6"/>
      <c r="C30" s="6"/>
      <c r="D30" s="6"/>
      <c r="E30" s="6"/>
      <c r="F30" s="6"/>
      <c r="G30" s="6"/>
      <c r="H30" s="7"/>
      <c r="I30" s="11">
        <f t="shared" si="0"/>
        <v>0</v>
      </c>
      <c r="J30" s="6"/>
      <c r="K30" s="8"/>
      <c r="L30" s="6"/>
    </row>
    <row r="31" spans="1:12" x14ac:dyDescent="0.25">
      <c r="A31" s="6"/>
      <c r="B31" s="6"/>
      <c r="C31" s="6"/>
      <c r="D31" s="6"/>
      <c r="E31" s="6"/>
      <c r="F31" s="6"/>
      <c r="G31" s="6"/>
      <c r="H31" s="7"/>
      <c r="I31" s="11">
        <f t="shared" si="0"/>
        <v>0</v>
      </c>
      <c r="J31" s="6"/>
      <c r="K31" s="8"/>
      <c r="L31" s="6"/>
    </row>
    <row r="32" spans="1:12" x14ac:dyDescent="0.25">
      <c r="A32" s="6"/>
      <c r="B32" s="6"/>
      <c r="C32" s="6"/>
      <c r="D32" s="6"/>
      <c r="E32" s="6"/>
      <c r="F32" s="6"/>
      <c r="G32" s="6"/>
      <c r="H32" s="7"/>
      <c r="I32" s="11">
        <f t="shared" si="0"/>
        <v>0</v>
      </c>
      <c r="J32" s="6"/>
      <c r="K32" s="8"/>
      <c r="L32" s="6"/>
    </row>
    <row r="33" spans="1:12" x14ac:dyDescent="0.25">
      <c r="A33" s="6"/>
      <c r="B33" s="6"/>
      <c r="C33" s="6"/>
      <c r="D33" s="6"/>
      <c r="E33" s="6"/>
      <c r="F33" s="6"/>
      <c r="G33" s="6"/>
      <c r="H33" s="7"/>
      <c r="I33" s="11">
        <f t="shared" si="0"/>
        <v>0</v>
      </c>
      <c r="J33" s="6"/>
      <c r="K33" s="8"/>
      <c r="L33" s="6"/>
    </row>
    <row r="34" spans="1:12" x14ac:dyDescent="0.25">
      <c r="A34" s="6"/>
      <c r="B34" s="6"/>
      <c r="C34" s="6"/>
      <c r="D34" s="6"/>
      <c r="E34" s="6"/>
      <c r="F34" s="6"/>
      <c r="G34" s="6"/>
      <c r="H34" s="7"/>
      <c r="I34" s="11">
        <f t="shared" si="0"/>
        <v>0</v>
      </c>
      <c r="J34" s="6"/>
      <c r="K34" s="8"/>
      <c r="L34" s="6"/>
    </row>
    <row r="35" spans="1:12" x14ac:dyDescent="0.25">
      <c r="A35" s="6"/>
      <c r="B35" s="6"/>
      <c r="C35" s="6"/>
      <c r="D35" s="6"/>
      <c r="E35" s="6"/>
      <c r="F35" s="6"/>
      <c r="G35" s="6"/>
      <c r="H35" s="7"/>
      <c r="I35" s="11">
        <f t="shared" si="0"/>
        <v>0</v>
      </c>
      <c r="J35" s="6"/>
      <c r="K35" s="8"/>
      <c r="L35" s="6"/>
    </row>
    <row r="36" spans="1:12" x14ac:dyDescent="0.25">
      <c r="A36" s="6"/>
      <c r="B36" s="6"/>
      <c r="C36" s="6"/>
      <c r="D36" s="6"/>
      <c r="E36" s="6"/>
      <c r="F36" s="6"/>
      <c r="G36" s="6"/>
      <c r="H36" s="7"/>
      <c r="I36" s="11">
        <f t="shared" ref="I36:I67" si="1">G36*H36</f>
        <v>0</v>
      </c>
      <c r="J36" s="6"/>
      <c r="K36" s="8"/>
      <c r="L36" s="6"/>
    </row>
    <row r="37" spans="1:12" x14ac:dyDescent="0.25">
      <c r="A37" s="6"/>
      <c r="B37" s="6"/>
      <c r="C37" s="6"/>
      <c r="D37" s="6"/>
      <c r="E37" s="6"/>
      <c r="F37" s="6"/>
      <c r="G37" s="6"/>
      <c r="H37" s="7"/>
      <c r="I37" s="11">
        <f t="shared" si="1"/>
        <v>0</v>
      </c>
      <c r="J37" s="6"/>
      <c r="K37" s="8"/>
      <c r="L37" s="6"/>
    </row>
    <row r="38" spans="1:12" x14ac:dyDescent="0.25">
      <c r="A38" s="6"/>
      <c r="B38" s="6"/>
      <c r="C38" s="6"/>
      <c r="D38" s="6"/>
      <c r="E38" s="6"/>
      <c r="F38" s="6"/>
      <c r="G38" s="6"/>
      <c r="H38" s="7"/>
      <c r="I38" s="11">
        <f t="shared" si="1"/>
        <v>0</v>
      </c>
      <c r="J38" s="6"/>
      <c r="K38" s="8"/>
      <c r="L38" s="6"/>
    </row>
    <row r="39" spans="1:12" x14ac:dyDescent="0.25">
      <c r="A39" s="6"/>
      <c r="B39" s="6"/>
      <c r="C39" s="6"/>
      <c r="D39" s="6"/>
      <c r="E39" s="6"/>
      <c r="F39" s="6"/>
      <c r="G39" s="6"/>
      <c r="H39" s="7"/>
      <c r="I39" s="11">
        <f t="shared" si="1"/>
        <v>0</v>
      </c>
      <c r="J39" s="6"/>
      <c r="K39" s="8"/>
      <c r="L39" s="6"/>
    </row>
    <row r="40" spans="1:12" x14ac:dyDescent="0.25">
      <c r="A40" s="6"/>
      <c r="B40" s="6"/>
      <c r="C40" s="6"/>
      <c r="D40" s="6"/>
      <c r="E40" s="6"/>
      <c r="F40" s="6"/>
      <c r="G40" s="6"/>
      <c r="H40" s="7"/>
      <c r="I40" s="11">
        <f t="shared" si="1"/>
        <v>0</v>
      </c>
      <c r="J40" s="6"/>
      <c r="K40" s="8"/>
      <c r="L40" s="6"/>
    </row>
    <row r="41" spans="1:12" x14ac:dyDescent="0.25">
      <c r="A41" s="6"/>
      <c r="B41" s="6"/>
      <c r="C41" s="6"/>
      <c r="D41" s="6"/>
      <c r="E41" s="6"/>
      <c r="F41" s="6"/>
      <c r="G41" s="6"/>
      <c r="H41" s="7"/>
      <c r="I41" s="11">
        <f t="shared" si="1"/>
        <v>0</v>
      </c>
      <c r="J41" s="6"/>
      <c r="K41" s="8"/>
      <c r="L41" s="6"/>
    </row>
    <row r="42" spans="1:12" x14ac:dyDescent="0.25">
      <c r="A42" s="6"/>
      <c r="B42" s="6"/>
      <c r="C42" s="6"/>
      <c r="D42" s="6"/>
      <c r="E42" s="6"/>
      <c r="F42" s="6"/>
      <c r="G42" s="6"/>
      <c r="H42" s="7"/>
      <c r="I42" s="11">
        <f t="shared" si="1"/>
        <v>0</v>
      </c>
      <c r="J42" s="6"/>
      <c r="K42" s="8"/>
      <c r="L42" s="6"/>
    </row>
    <row r="43" spans="1:12" x14ac:dyDescent="0.25">
      <c r="A43" s="6"/>
      <c r="B43" s="6"/>
      <c r="C43" s="6"/>
      <c r="D43" s="6"/>
      <c r="E43" s="6"/>
      <c r="F43" s="6"/>
      <c r="G43" s="6"/>
      <c r="H43" s="7"/>
      <c r="I43" s="11">
        <f t="shared" si="1"/>
        <v>0</v>
      </c>
      <c r="J43" s="6"/>
      <c r="K43" s="8"/>
      <c r="L43" s="6"/>
    </row>
    <row r="44" spans="1:12" x14ac:dyDescent="0.25">
      <c r="A44" s="6"/>
      <c r="B44" s="6"/>
      <c r="C44" s="6"/>
      <c r="D44" s="6"/>
      <c r="E44" s="6"/>
      <c r="F44" s="6"/>
      <c r="G44" s="6"/>
      <c r="H44" s="7"/>
      <c r="I44" s="11">
        <f t="shared" si="1"/>
        <v>0</v>
      </c>
      <c r="J44" s="6"/>
      <c r="K44" s="8"/>
      <c r="L44" s="6"/>
    </row>
    <row r="45" spans="1:12" x14ac:dyDescent="0.25">
      <c r="A45" s="6"/>
      <c r="B45" s="6"/>
      <c r="C45" s="6"/>
      <c r="D45" s="6"/>
      <c r="E45" s="6"/>
      <c r="F45" s="6"/>
      <c r="G45" s="6"/>
      <c r="H45" s="7"/>
      <c r="I45" s="11">
        <f t="shared" si="1"/>
        <v>0</v>
      </c>
      <c r="J45" s="6"/>
      <c r="K45" s="8"/>
      <c r="L45" s="6"/>
    </row>
    <row r="46" spans="1:12" x14ac:dyDescent="0.25">
      <c r="A46" s="6"/>
      <c r="B46" s="6"/>
      <c r="C46" s="6"/>
      <c r="D46" s="6"/>
      <c r="E46" s="6"/>
      <c r="F46" s="6"/>
      <c r="G46" s="6"/>
      <c r="H46" s="7"/>
      <c r="I46" s="11">
        <f t="shared" si="1"/>
        <v>0</v>
      </c>
      <c r="J46" s="6"/>
      <c r="K46" s="8"/>
      <c r="L46" s="6"/>
    </row>
    <row r="47" spans="1:12" x14ac:dyDescent="0.25">
      <c r="A47" s="6"/>
      <c r="B47" s="6"/>
      <c r="C47" s="6"/>
      <c r="D47" s="6"/>
      <c r="E47" s="6"/>
      <c r="F47" s="6"/>
      <c r="G47" s="6"/>
      <c r="H47" s="7"/>
      <c r="I47" s="11">
        <f t="shared" si="1"/>
        <v>0</v>
      </c>
      <c r="J47" s="6"/>
      <c r="K47" s="8"/>
      <c r="L47" s="6"/>
    </row>
    <row r="48" spans="1:12" x14ac:dyDescent="0.25">
      <c r="A48" s="6"/>
      <c r="B48" s="6"/>
      <c r="C48" s="6"/>
      <c r="D48" s="6"/>
      <c r="E48" s="6"/>
      <c r="F48" s="6"/>
      <c r="G48" s="6"/>
      <c r="H48" s="7"/>
      <c r="I48" s="11">
        <f t="shared" si="1"/>
        <v>0</v>
      </c>
      <c r="J48" s="6"/>
      <c r="K48" s="8"/>
      <c r="L48" s="6"/>
    </row>
    <row r="49" spans="1:12" x14ac:dyDescent="0.25">
      <c r="A49" s="6"/>
      <c r="B49" s="6"/>
      <c r="C49" s="6"/>
      <c r="D49" s="6"/>
      <c r="E49" s="6"/>
      <c r="F49" s="6"/>
      <c r="G49" s="6"/>
      <c r="H49" s="7"/>
      <c r="I49" s="11">
        <f t="shared" si="1"/>
        <v>0</v>
      </c>
      <c r="J49" s="6"/>
      <c r="K49" s="8"/>
      <c r="L49" s="6"/>
    </row>
    <row r="50" spans="1:12" x14ac:dyDescent="0.25">
      <c r="A50" s="6"/>
      <c r="B50" s="6"/>
      <c r="C50" s="6"/>
      <c r="D50" s="6"/>
      <c r="E50" s="6"/>
      <c r="F50" s="6"/>
      <c r="G50" s="6"/>
      <c r="H50" s="7"/>
      <c r="I50" s="11">
        <f t="shared" si="1"/>
        <v>0</v>
      </c>
      <c r="J50" s="6"/>
      <c r="K50" s="8"/>
      <c r="L50" s="6"/>
    </row>
    <row r="51" spans="1:12" x14ac:dyDescent="0.25">
      <c r="A51" s="6"/>
      <c r="B51" s="6"/>
      <c r="C51" s="6"/>
      <c r="D51" s="6"/>
      <c r="E51" s="6"/>
      <c r="F51" s="6"/>
      <c r="G51" s="6"/>
      <c r="H51" s="7"/>
      <c r="I51" s="11">
        <f t="shared" si="1"/>
        <v>0</v>
      </c>
      <c r="J51" s="6"/>
      <c r="K51" s="8"/>
      <c r="L51" s="6"/>
    </row>
    <row r="52" spans="1:12" x14ac:dyDescent="0.25">
      <c r="A52" s="6"/>
      <c r="B52" s="6"/>
      <c r="C52" s="6"/>
      <c r="D52" s="6"/>
      <c r="E52" s="6"/>
      <c r="F52" s="6"/>
      <c r="G52" s="6"/>
      <c r="H52" s="7"/>
      <c r="I52" s="11">
        <f t="shared" si="1"/>
        <v>0</v>
      </c>
      <c r="J52" s="6"/>
      <c r="K52" s="8"/>
      <c r="L52" s="6"/>
    </row>
    <row r="53" spans="1:12" x14ac:dyDescent="0.25">
      <c r="A53" s="6"/>
      <c r="B53" s="6"/>
      <c r="C53" s="6"/>
      <c r="D53" s="6"/>
      <c r="E53" s="6"/>
      <c r="F53" s="6"/>
      <c r="G53" s="6"/>
      <c r="H53" s="7"/>
      <c r="I53" s="11">
        <f t="shared" si="1"/>
        <v>0</v>
      </c>
      <c r="J53" s="6"/>
      <c r="K53" s="8"/>
      <c r="L53" s="6"/>
    </row>
    <row r="54" spans="1:12" x14ac:dyDescent="0.25">
      <c r="A54" s="6"/>
      <c r="B54" s="6"/>
      <c r="C54" s="6"/>
      <c r="D54" s="6"/>
      <c r="E54" s="6"/>
      <c r="F54" s="6"/>
      <c r="G54" s="6"/>
      <c r="H54" s="7"/>
      <c r="I54" s="11">
        <f t="shared" si="1"/>
        <v>0</v>
      </c>
      <c r="J54" s="6"/>
      <c r="K54" s="8"/>
      <c r="L54" s="6"/>
    </row>
    <row r="55" spans="1:12" x14ac:dyDescent="0.25">
      <c r="A55" s="6"/>
      <c r="B55" s="6"/>
      <c r="C55" s="6"/>
      <c r="D55" s="6"/>
      <c r="E55" s="6"/>
      <c r="F55" s="6"/>
      <c r="G55" s="6"/>
      <c r="H55" s="7"/>
      <c r="I55" s="11">
        <f t="shared" si="1"/>
        <v>0</v>
      </c>
      <c r="J55" s="6"/>
      <c r="K55" s="8"/>
      <c r="L55" s="6"/>
    </row>
    <row r="56" spans="1:12" x14ac:dyDescent="0.25">
      <c r="A56" s="6"/>
      <c r="B56" s="6"/>
      <c r="C56" s="6"/>
      <c r="D56" s="6"/>
      <c r="E56" s="6"/>
      <c r="F56" s="6"/>
      <c r="G56" s="6"/>
      <c r="H56" s="7"/>
      <c r="I56" s="11">
        <f t="shared" si="1"/>
        <v>0</v>
      </c>
      <c r="J56" s="6"/>
      <c r="K56" s="8"/>
      <c r="L56" s="6"/>
    </row>
    <row r="57" spans="1:12" x14ac:dyDescent="0.25">
      <c r="A57" s="6"/>
      <c r="B57" s="6"/>
      <c r="C57" s="6"/>
      <c r="D57" s="6"/>
      <c r="E57" s="6"/>
      <c r="F57" s="6"/>
      <c r="G57" s="6"/>
      <c r="H57" s="7"/>
      <c r="I57" s="11">
        <f t="shared" si="1"/>
        <v>0</v>
      </c>
      <c r="J57" s="6"/>
      <c r="K57" s="8"/>
      <c r="L57" s="6"/>
    </row>
    <row r="58" spans="1:12" x14ac:dyDescent="0.25">
      <c r="A58" s="6"/>
      <c r="B58" s="6"/>
      <c r="C58" s="6"/>
      <c r="D58" s="6"/>
      <c r="E58" s="6"/>
      <c r="F58" s="6"/>
      <c r="G58" s="6"/>
      <c r="H58" s="7"/>
      <c r="I58" s="11">
        <f t="shared" si="1"/>
        <v>0</v>
      </c>
      <c r="J58" s="6"/>
      <c r="K58" s="8"/>
      <c r="L58" s="6"/>
    </row>
    <row r="59" spans="1:12" x14ac:dyDescent="0.25">
      <c r="A59" s="6"/>
      <c r="B59" s="6"/>
      <c r="C59" s="6"/>
      <c r="D59" s="6"/>
      <c r="E59" s="6"/>
      <c r="F59" s="6"/>
      <c r="G59" s="6"/>
      <c r="H59" s="7"/>
      <c r="I59" s="11">
        <f t="shared" si="1"/>
        <v>0</v>
      </c>
      <c r="J59" s="6"/>
      <c r="K59" s="8"/>
      <c r="L59" s="6"/>
    </row>
    <row r="60" spans="1:12" x14ac:dyDescent="0.25">
      <c r="A60" s="6"/>
      <c r="B60" s="6"/>
      <c r="C60" s="6"/>
      <c r="D60" s="6"/>
      <c r="E60" s="6"/>
      <c r="F60" s="6"/>
      <c r="G60" s="6"/>
      <c r="H60" s="7"/>
      <c r="I60" s="11">
        <f t="shared" si="1"/>
        <v>0</v>
      </c>
      <c r="J60" s="6"/>
      <c r="K60" s="8"/>
      <c r="L60" s="6"/>
    </row>
    <row r="61" spans="1:12" x14ac:dyDescent="0.25">
      <c r="A61" s="6"/>
      <c r="B61" s="6"/>
      <c r="C61" s="6"/>
      <c r="D61" s="6"/>
      <c r="E61" s="6"/>
      <c r="F61" s="6"/>
      <c r="G61" s="6"/>
      <c r="H61" s="7"/>
      <c r="I61" s="11">
        <f t="shared" si="1"/>
        <v>0</v>
      </c>
      <c r="J61" s="6"/>
      <c r="K61" s="8"/>
      <c r="L61" s="6"/>
    </row>
    <row r="62" spans="1:12" x14ac:dyDescent="0.25">
      <c r="A62" s="6"/>
      <c r="B62" s="6"/>
      <c r="C62" s="6"/>
      <c r="D62" s="6"/>
      <c r="E62" s="6"/>
      <c r="F62" s="6"/>
      <c r="G62" s="6"/>
      <c r="H62" s="7"/>
      <c r="I62" s="11">
        <f t="shared" si="1"/>
        <v>0</v>
      </c>
      <c r="J62" s="6"/>
      <c r="K62" s="8"/>
      <c r="L62" s="6"/>
    </row>
    <row r="63" spans="1:12" x14ac:dyDescent="0.25">
      <c r="A63" s="6"/>
      <c r="B63" s="6"/>
      <c r="C63" s="6"/>
      <c r="D63" s="6"/>
      <c r="E63" s="6"/>
      <c r="F63" s="6"/>
      <c r="G63" s="6"/>
      <c r="H63" s="7"/>
      <c r="I63" s="11">
        <f t="shared" si="1"/>
        <v>0</v>
      </c>
      <c r="J63" s="6"/>
      <c r="K63" s="8"/>
      <c r="L63" s="6"/>
    </row>
    <row r="64" spans="1:12" x14ac:dyDescent="0.25">
      <c r="A64" s="6"/>
      <c r="B64" s="6"/>
      <c r="C64" s="6"/>
      <c r="D64" s="6"/>
      <c r="E64" s="6"/>
      <c r="F64" s="6"/>
      <c r="G64" s="6"/>
      <c r="H64" s="7"/>
      <c r="I64" s="11">
        <f t="shared" si="1"/>
        <v>0</v>
      </c>
      <c r="J64" s="6"/>
      <c r="K64" s="8"/>
      <c r="L64" s="6"/>
    </row>
    <row r="65" spans="1:12" x14ac:dyDescent="0.25">
      <c r="A65" s="6"/>
      <c r="B65" s="6"/>
      <c r="C65" s="6"/>
      <c r="D65" s="6"/>
      <c r="E65" s="6"/>
      <c r="F65" s="6"/>
      <c r="G65" s="6"/>
      <c r="H65" s="7"/>
      <c r="I65" s="11">
        <f t="shared" si="1"/>
        <v>0</v>
      </c>
      <c r="J65" s="6"/>
      <c r="K65" s="8"/>
      <c r="L65" s="6"/>
    </row>
    <row r="66" spans="1:12" x14ac:dyDescent="0.25">
      <c r="A66" s="6"/>
      <c r="B66" s="6"/>
      <c r="C66" s="6"/>
      <c r="D66" s="6"/>
      <c r="E66" s="6"/>
      <c r="F66" s="6"/>
      <c r="G66" s="6"/>
      <c r="H66" s="7"/>
      <c r="I66" s="11">
        <f t="shared" si="1"/>
        <v>0</v>
      </c>
      <c r="J66" s="6"/>
      <c r="K66" s="8"/>
      <c r="L66" s="6"/>
    </row>
    <row r="67" spans="1:12" x14ac:dyDescent="0.25">
      <c r="A67" s="6"/>
      <c r="B67" s="6"/>
      <c r="C67" s="6"/>
      <c r="D67" s="6"/>
      <c r="E67" s="6"/>
      <c r="F67" s="6"/>
      <c r="G67" s="6"/>
      <c r="H67" s="7"/>
      <c r="I67" s="11">
        <f t="shared" si="1"/>
        <v>0</v>
      </c>
      <c r="J67" s="6"/>
      <c r="K67" s="8"/>
      <c r="L67" s="6"/>
    </row>
    <row r="68" spans="1:12" x14ac:dyDescent="0.25">
      <c r="A68" s="6"/>
      <c r="B68" s="6"/>
      <c r="C68" s="6"/>
      <c r="D68" s="6"/>
      <c r="E68" s="6"/>
      <c r="F68" s="6"/>
      <c r="G68" s="6"/>
      <c r="H68" s="7"/>
      <c r="I68" s="11">
        <f t="shared" ref="I68:I99" si="2">G68*H68</f>
        <v>0</v>
      </c>
      <c r="J68" s="6"/>
      <c r="K68" s="8"/>
      <c r="L68" s="6"/>
    </row>
    <row r="69" spans="1:12" x14ac:dyDescent="0.25">
      <c r="A69" s="6"/>
      <c r="B69" s="6"/>
      <c r="C69" s="6"/>
      <c r="D69" s="6"/>
      <c r="E69" s="6"/>
      <c r="F69" s="6"/>
      <c r="G69" s="6"/>
      <c r="H69" s="7"/>
      <c r="I69" s="11">
        <f t="shared" si="2"/>
        <v>0</v>
      </c>
      <c r="J69" s="6"/>
      <c r="K69" s="8"/>
      <c r="L69" s="6"/>
    </row>
    <row r="70" spans="1:12" x14ac:dyDescent="0.25">
      <c r="A70" s="6"/>
      <c r="B70" s="6"/>
      <c r="C70" s="6"/>
      <c r="D70" s="6"/>
      <c r="E70" s="6"/>
      <c r="F70" s="6"/>
      <c r="G70" s="6"/>
      <c r="H70" s="7"/>
      <c r="I70" s="11">
        <f t="shared" si="2"/>
        <v>0</v>
      </c>
      <c r="J70" s="6"/>
      <c r="K70" s="8"/>
      <c r="L70" s="6"/>
    </row>
    <row r="71" spans="1:12" x14ac:dyDescent="0.25">
      <c r="A71" s="6"/>
      <c r="B71" s="6"/>
      <c r="C71" s="6"/>
      <c r="D71" s="6"/>
      <c r="E71" s="6"/>
      <c r="F71" s="6"/>
      <c r="G71" s="6"/>
      <c r="H71" s="7"/>
      <c r="I71" s="11">
        <f t="shared" si="2"/>
        <v>0</v>
      </c>
      <c r="J71" s="6"/>
      <c r="K71" s="8"/>
      <c r="L71" s="6"/>
    </row>
    <row r="72" spans="1:12" x14ac:dyDescent="0.25">
      <c r="A72" s="6"/>
      <c r="B72" s="6"/>
      <c r="C72" s="6"/>
      <c r="D72" s="6"/>
      <c r="E72" s="6"/>
      <c r="F72" s="6"/>
      <c r="G72" s="6"/>
      <c r="H72" s="7"/>
      <c r="I72" s="11">
        <f t="shared" si="2"/>
        <v>0</v>
      </c>
      <c r="J72" s="6"/>
      <c r="K72" s="8"/>
      <c r="L72" s="6"/>
    </row>
    <row r="73" spans="1:12" x14ac:dyDescent="0.25">
      <c r="A73" s="6"/>
      <c r="B73" s="6"/>
      <c r="C73" s="6"/>
      <c r="D73" s="6"/>
      <c r="E73" s="6"/>
      <c r="F73" s="6"/>
      <c r="G73" s="6"/>
      <c r="H73" s="7"/>
      <c r="I73" s="11">
        <f t="shared" si="2"/>
        <v>0</v>
      </c>
      <c r="J73" s="6"/>
      <c r="K73" s="8"/>
      <c r="L73" s="6"/>
    </row>
    <row r="74" spans="1:12" x14ac:dyDescent="0.25">
      <c r="A74" s="6"/>
      <c r="B74" s="6"/>
      <c r="C74" s="6"/>
      <c r="D74" s="6"/>
      <c r="E74" s="6"/>
      <c r="F74" s="6"/>
      <c r="G74" s="6"/>
      <c r="H74" s="7"/>
      <c r="I74" s="11">
        <f t="shared" si="2"/>
        <v>0</v>
      </c>
      <c r="J74" s="6"/>
      <c r="K74" s="8"/>
      <c r="L74" s="6"/>
    </row>
    <row r="75" spans="1:12" x14ac:dyDescent="0.25">
      <c r="A75" s="6"/>
      <c r="B75" s="6"/>
      <c r="C75" s="6"/>
      <c r="D75" s="6"/>
      <c r="E75" s="6"/>
      <c r="F75" s="6"/>
      <c r="G75" s="6"/>
      <c r="H75" s="7"/>
      <c r="I75" s="11">
        <f t="shared" si="2"/>
        <v>0</v>
      </c>
      <c r="J75" s="6"/>
      <c r="K75" s="8"/>
      <c r="L75" s="6"/>
    </row>
    <row r="76" spans="1:12" x14ac:dyDescent="0.25">
      <c r="A76" s="6"/>
      <c r="B76" s="6"/>
      <c r="C76" s="6"/>
      <c r="D76" s="6"/>
      <c r="E76" s="6"/>
      <c r="F76" s="6"/>
      <c r="G76" s="6"/>
      <c r="H76" s="7"/>
      <c r="I76" s="11">
        <f t="shared" si="2"/>
        <v>0</v>
      </c>
      <c r="J76" s="6"/>
      <c r="K76" s="8"/>
      <c r="L76" s="6"/>
    </row>
    <row r="77" spans="1:12" x14ac:dyDescent="0.25">
      <c r="A77" s="6"/>
      <c r="B77" s="6"/>
      <c r="C77" s="6"/>
      <c r="D77" s="6"/>
      <c r="E77" s="6"/>
      <c r="F77" s="6"/>
      <c r="G77" s="6"/>
      <c r="H77" s="7"/>
      <c r="I77" s="11">
        <f t="shared" si="2"/>
        <v>0</v>
      </c>
      <c r="J77" s="6"/>
      <c r="K77" s="8"/>
      <c r="L77" s="6"/>
    </row>
    <row r="78" spans="1:12" x14ac:dyDescent="0.25">
      <c r="A78" s="6"/>
      <c r="B78" s="6"/>
      <c r="C78" s="6"/>
      <c r="D78" s="6"/>
      <c r="E78" s="6"/>
      <c r="F78" s="6"/>
      <c r="G78" s="6"/>
      <c r="H78" s="7"/>
      <c r="I78" s="11">
        <f t="shared" si="2"/>
        <v>0</v>
      </c>
      <c r="J78" s="6"/>
      <c r="K78" s="8"/>
      <c r="L78" s="6"/>
    </row>
    <row r="79" spans="1:12" x14ac:dyDescent="0.25">
      <c r="A79" s="6"/>
      <c r="B79" s="6"/>
      <c r="C79" s="6"/>
      <c r="D79" s="6"/>
      <c r="E79" s="6"/>
      <c r="F79" s="6"/>
      <c r="G79" s="6"/>
      <c r="H79" s="7"/>
      <c r="I79" s="11">
        <f t="shared" si="2"/>
        <v>0</v>
      </c>
      <c r="J79" s="6"/>
      <c r="K79" s="8"/>
      <c r="L79" s="6"/>
    </row>
    <row r="80" spans="1:12" x14ac:dyDescent="0.25">
      <c r="A80" s="6"/>
      <c r="B80" s="6"/>
      <c r="C80" s="6"/>
      <c r="D80" s="6"/>
      <c r="E80" s="6"/>
      <c r="F80" s="6"/>
      <c r="G80" s="6"/>
      <c r="H80" s="7"/>
      <c r="I80" s="11">
        <f t="shared" si="2"/>
        <v>0</v>
      </c>
      <c r="J80" s="6"/>
      <c r="K80" s="8"/>
      <c r="L80" s="6"/>
    </row>
    <row r="81" spans="1:12" x14ac:dyDescent="0.25">
      <c r="A81" s="6"/>
      <c r="B81" s="6"/>
      <c r="C81" s="6"/>
      <c r="D81" s="6"/>
      <c r="E81" s="6"/>
      <c r="F81" s="6"/>
      <c r="G81" s="6"/>
      <c r="H81" s="7"/>
      <c r="I81" s="11">
        <f t="shared" si="2"/>
        <v>0</v>
      </c>
      <c r="J81" s="6"/>
      <c r="K81" s="8"/>
      <c r="L81" s="6"/>
    </row>
    <row r="82" spans="1:12" x14ac:dyDescent="0.25">
      <c r="A82" s="6"/>
      <c r="B82" s="6"/>
      <c r="C82" s="6"/>
      <c r="D82" s="6"/>
      <c r="E82" s="6"/>
      <c r="F82" s="6"/>
      <c r="G82" s="6"/>
      <c r="H82" s="7"/>
      <c r="I82" s="11">
        <f t="shared" si="2"/>
        <v>0</v>
      </c>
      <c r="J82" s="6"/>
      <c r="K82" s="8"/>
      <c r="L82" s="6"/>
    </row>
    <row r="83" spans="1:12" x14ac:dyDescent="0.25">
      <c r="A83" s="6"/>
      <c r="B83" s="6"/>
      <c r="C83" s="6"/>
      <c r="D83" s="6"/>
      <c r="E83" s="6"/>
      <c r="F83" s="6"/>
      <c r="G83" s="6"/>
      <c r="H83" s="7"/>
      <c r="I83" s="11">
        <f t="shared" si="2"/>
        <v>0</v>
      </c>
      <c r="J83" s="6"/>
      <c r="K83" s="8"/>
      <c r="L83" s="6"/>
    </row>
    <row r="84" spans="1:12" x14ac:dyDescent="0.25">
      <c r="A84" s="6"/>
      <c r="B84" s="6"/>
      <c r="C84" s="6"/>
      <c r="D84" s="6"/>
      <c r="E84" s="6"/>
      <c r="F84" s="6"/>
      <c r="G84" s="6"/>
      <c r="H84" s="7"/>
      <c r="I84" s="11">
        <f t="shared" si="2"/>
        <v>0</v>
      </c>
      <c r="J84" s="6"/>
      <c r="K84" s="8"/>
      <c r="L84" s="6"/>
    </row>
    <row r="85" spans="1:12" x14ac:dyDescent="0.25">
      <c r="A85" s="6"/>
      <c r="B85" s="6"/>
      <c r="C85" s="6"/>
      <c r="D85" s="6"/>
      <c r="E85" s="6"/>
      <c r="F85" s="6"/>
      <c r="G85" s="6"/>
      <c r="H85" s="7"/>
      <c r="I85" s="11">
        <f t="shared" si="2"/>
        <v>0</v>
      </c>
      <c r="J85" s="6"/>
      <c r="K85" s="8"/>
      <c r="L85" s="6"/>
    </row>
    <row r="86" spans="1:12" x14ac:dyDescent="0.25">
      <c r="A86" s="6"/>
      <c r="B86" s="6"/>
      <c r="C86" s="6"/>
      <c r="D86" s="6"/>
      <c r="E86" s="6"/>
      <c r="F86" s="6"/>
      <c r="G86" s="6"/>
      <c r="H86" s="7"/>
      <c r="I86" s="11">
        <f t="shared" si="2"/>
        <v>0</v>
      </c>
      <c r="J86" s="6"/>
      <c r="K86" s="8"/>
      <c r="L86" s="6"/>
    </row>
    <row r="87" spans="1:12" x14ac:dyDescent="0.25">
      <c r="A87" s="6"/>
      <c r="B87" s="6"/>
      <c r="C87" s="6"/>
      <c r="D87" s="6"/>
      <c r="E87" s="6"/>
      <c r="F87" s="6"/>
      <c r="G87" s="6"/>
      <c r="H87" s="7"/>
      <c r="I87" s="11">
        <f t="shared" si="2"/>
        <v>0</v>
      </c>
      <c r="J87" s="6"/>
      <c r="K87" s="8"/>
      <c r="L87" s="6"/>
    </row>
    <row r="88" spans="1:12" x14ac:dyDescent="0.25">
      <c r="A88" s="6"/>
      <c r="B88" s="6"/>
      <c r="C88" s="6"/>
      <c r="D88" s="6"/>
      <c r="E88" s="6"/>
      <c r="F88" s="6"/>
      <c r="G88" s="6"/>
      <c r="H88" s="7"/>
      <c r="I88" s="11">
        <f t="shared" si="2"/>
        <v>0</v>
      </c>
      <c r="J88" s="6"/>
      <c r="K88" s="8"/>
      <c r="L88" s="6"/>
    </row>
    <row r="89" spans="1:12" x14ac:dyDescent="0.25">
      <c r="A89" s="6"/>
      <c r="B89" s="6"/>
      <c r="C89" s="6"/>
      <c r="D89" s="6"/>
      <c r="E89" s="6"/>
      <c r="F89" s="6"/>
      <c r="G89" s="6"/>
      <c r="H89" s="7"/>
      <c r="I89" s="11">
        <f t="shared" si="2"/>
        <v>0</v>
      </c>
      <c r="J89" s="6"/>
      <c r="K89" s="8"/>
      <c r="L89" s="6"/>
    </row>
    <row r="90" spans="1:12" x14ac:dyDescent="0.25">
      <c r="A90" s="6"/>
      <c r="B90" s="6"/>
      <c r="C90" s="6"/>
      <c r="D90" s="6"/>
      <c r="E90" s="6"/>
      <c r="F90" s="6"/>
      <c r="G90" s="6"/>
      <c r="H90" s="7"/>
      <c r="I90" s="11">
        <f t="shared" si="2"/>
        <v>0</v>
      </c>
      <c r="J90" s="6"/>
      <c r="K90" s="8"/>
      <c r="L90" s="6"/>
    </row>
    <row r="91" spans="1:12" x14ac:dyDescent="0.25">
      <c r="A91" s="6"/>
      <c r="B91" s="6"/>
      <c r="C91" s="6"/>
      <c r="D91" s="6"/>
      <c r="E91" s="6"/>
      <c r="F91" s="6"/>
      <c r="G91" s="6"/>
      <c r="H91" s="7"/>
      <c r="I91" s="11">
        <f t="shared" si="2"/>
        <v>0</v>
      </c>
      <c r="J91" s="6"/>
      <c r="K91" s="8"/>
      <c r="L91" s="6"/>
    </row>
    <row r="92" spans="1:12" x14ac:dyDescent="0.25">
      <c r="A92" s="6"/>
      <c r="B92" s="6"/>
      <c r="C92" s="6"/>
      <c r="D92" s="6"/>
      <c r="E92" s="6"/>
      <c r="F92" s="6"/>
      <c r="G92" s="6"/>
      <c r="H92" s="7"/>
      <c r="I92" s="11">
        <f t="shared" si="2"/>
        <v>0</v>
      </c>
      <c r="J92" s="6"/>
      <c r="K92" s="8"/>
      <c r="L92" s="6"/>
    </row>
    <row r="93" spans="1:12" x14ac:dyDescent="0.25">
      <c r="A93" s="6"/>
      <c r="B93" s="6"/>
      <c r="C93" s="6"/>
      <c r="D93" s="6"/>
      <c r="E93" s="6"/>
      <c r="F93" s="6"/>
      <c r="G93" s="6"/>
      <c r="H93" s="7"/>
      <c r="I93" s="11">
        <f t="shared" si="2"/>
        <v>0</v>
      </c>
      <c r="J93" s="6"/>
      <c r="K93" s="8"/>
      <c r="L93" s="6"/>
    </row>
    <row r="94" spans="1:12" x14ac:dyDescent="0.25">
      <c r="A94" s="6"/>
      <c r="B94" s="6"/>
      <c r="C94" s="6"/>
      <c r="D94" s="6"/>
      <c r="E94" s="6"/>
      <c r="F94" s="6"/>
      <c r="G94" s="6"/>
      <c r="H94" s="7"/>
      <c r="I94" s="11">
        <f t="shared" si="2"/>
        <v>0</v>
      </c>
      <c r="J94" s="6"/>
      <c r="K94" s="8"/>
      <c r="L94" s="6"/>
    </row>
    <row r="95" spans="1:12" x14ac:dyDescent="0.25">
      <c r="A95" s="6"/>
      <c r="B95" s="6"/>
      <c r="C95" s="6"/>
      <c r="D95" s="6"/>
      <c r="E95" s="6"/>
      <c r="F95" s="6"/>
      <c r="G95" s="6"/>
      <c r="H95" s="7"/>
      <c r="I95" s="11">
        <f t="shared" si="2"/>
        <v>0</v>
      </c>
      <c r="J95" s="6"/>
      <c r="K95" s="8"/>
      <c r="L95" s="6"/>
    </row>
    <row r="96" spans="1:12" x14ac:dyDescent="0.25">
      <c r="A96" s="6"/>
      <c r="B96" s="6"/>
      <c r="C96" s="6"/>
      <c r="D96" s="6"/>
      <c r="E96" s="6"/>
      <c r="F96" s="6"/>
      <c r="G96" s="6"/>
      <c r="H96" s="7"/>
      <c r="I96" s="11">
        <f t="shared" si="2"/>
        <v>0</v>
      </c>
      <c r="J96" s="6"/>
      <c r="K96" s="8"/>
      <c r="L96" s="6"/>
    </row>
    <row r="97" spans="1:12" x14ac:dyDescent="0.25">
      <c r="A97" s="6"/>
      <c r="B97" s="6"/>
      <c r="C97" s="6"/>
      <c r="D97" s="6"/>
      <c r="E97" s="6"/>
      <c r="F97" s="6"/>
      <c r="G97" s="6"/>
      <c r="H97" s="7"/>
      <c r="I97" s="11">
        <f t="shared" si="2"/>
        <v>0</v>
      </c>
      <c r="J97" s="6"/>
      <c r="K97" s="8"/>
      <c r="L97" s="6"/>
    </row>
    <row r="98" spans="1:12" x14ac:dyDescent="0.25">
      <c r="A98" s="6"/>
      <c r="B98" s="6"/>
      <c r="C98" s="6"/>
      <c r="D98" s="6"/>
      <c r="E98" s="6"/>
      <c r="F98" s="6"/>
      <c r="G98" s="6"/>
      <c r="H98" s="7"/>
      <c r="I98" s="11">
        <f t="shared" si="2"/>
        <v>0</v>
      </c>
      <c r="J98" s="6"/>
      <c r="K98" s="8"/>
      <c r="L98" s="6"/>
    </row>
    <row r="99" spans="1:12" x14ac:dyDescent="0.25">
      <c r="A99" s="6"/>
      <c r="B99" s="6"/>
      <c r="C99" s="6"/>
      <c r="D99" s="6"/>
      <c r="E99" s="6"/>
      <c r="F99" s="6"/>
      <c r="G99" s="6"/>
      <c r="H99" s="7"/>
      <c r="I99" s="11">
        <f t="shared" si="2"/>
        <v>0</v>
      </c>
      <c r="J99" s="6"/>
      <c r="K99" s="8"/>
      <c r="L99" s="6"/>
    </row>
    <row r="100" spans="1:12" x14ac:dyDescent="0.25">
      <c r="A100" s="6"/>
      <c r="B100" s="6"/>
      <c r="C100" s="6"/>
      <c r="D100" s="6"/>
      <c r="E100" s="6"/>
      <c r="F100" s="6"/>
      <c r="G100" s="6"/>
      <c r="H100" s="7"/>
      <c r="I100" s="11">
        <f t="shared" ref="I100:I103" si="3">G100*H100</f>
        <v>0</v>
      </c>
      <c r="J100" s="6"/>
      <c r="K100" s="8"/>
      <c r="L100" s="6"/>
    </row>
    <row r="101" spans="1:12" x14ac:dyDescent="0.25">
      <c r="A101" s="6"/>
      <c r="B101" s="6"/>
      <c r="C101" s="6"/>
      <c r="D101" s="6"/>
      <c r="E101" s="6"/>
      <c r="F101" s="6"/>
      <c r="G101" s="6"/>
      <c r="H101" s="7"/>
      <c r="I101" s="11">
        <f t="shared" si="3"/>
        <v>0</v>
      </c>
      <c r="J101" s="6"/>
      <c r="K101" s="8"/>
      <c r="L101" s="6"/>
    </row>
    <row r="102" spans="1:12" x14ac:dyDescent="0.25">
      <c r="A102" s="6"/>
      <c r="B102" s="6"/>
      <c r="C102" s="6"/>
      <c r="D102" s="6"/>
      <c r="E102" s="6"/>
      <c r="F102" s="6"/>
      <c r="G102" s="6"/>
      <c r="H102" s="7"/>
      <c r="I102" s="11">
        <f t="shared" si="3"/>
        <v>0</v>
      </c>
      <c r="J102" s="6"/>
      <c r="K102" s="8"/>
      <c r="L102" s="6"/>
    </row>
    <row r="103" spans="1:12" x14ac:dyDescent="0.25">
      <c r="A103" s="6"/>
      <c r="B103" s="6"/>
      <c r="C103" s="6"/>
      <c r="D103" s="6"/>
      <c r="E103" s="6"/>
      <c r="F103" s="6"/>
      <c r="G103" s="6"/>
      <c r="H103" s="7"/>
      <c r="I103" s="11">
        <f t="shared" si="3"/>
        <v>0</v>
      </c>
      <c r="J103" s="6"/>
      <c r="K103" s="8"/>
      <c r="L103" s="6"/>
    </row>
  </sheetData>
  <dataValidations count="3">
    <dataValidation type="list"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xr:uid="{00000000-0002-0000-0400-000000000000}">
      <formula1>"Adicional,Deductivo"</formula1>
    </dataValidation>
    <dataValidation type="list"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xr:uid="{00000000-0002-0000-0400-000001000000}">
      <formula1>lstUnidades</formula1>
    </dataValidation>
    <dataValidation type="list"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xr:uid="{00000000-0002-0000-0400-000002000000}">
      <formula1>lstEstadosAdic</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3"/>
  <sheetViews>
    <sheetView showGridLines="0" workbookViewId="0">
      <pane ySplit="3" topLeftCell="A4" activePane="bottomLeft" state="frozen"/>
      <selection pane="bottomLeft"/>
    </sheetView>
  </sheetViews>
  <sheetFormatPr baseColWidth="10" defaultColWidth="9.140625" defaultRowHeight="15" x14ac:dyDescent="0.25"/>
  <cols>
    <col min="1" max="3" width="14" customWidth="1"/>
    <col min="4" max="5" width="15" customWidth="1"/>
    <col min="6" max="6" width="16" customWidth="1"/>
    <col min="7" max="8" width="14" customWidth="1"/>
    <col min="9" max="9" width="15" customWidth="1"/>
    <col min="10" max="10" width="12" customWidth="1"/>
    <col min="11" max="11" width="22" customWidth="1"/>
  </cols>
  <sheetData>
    <row r="1" spans="1:11" ht="18.75" x14ac:dyDescent="0.3">
      <c r="A1" s="1" t="s">
        <v>136</v>
      </c>
    </row>
    <row r="3" spans="1:11" ht="30" x14ac:dyDescent="0.25">
      <c r="A3" s="9" t="s">
        <v>137</v>
      </c>
      <c r="B3" s="9" t="s">
        <v>138</v>
      </c>
      <c r="C3" s="9" t="s">
        <v>60</v>
      </c>
      <c r="D3" s="9" t="s">
        <v>139</v>
      </c>
      <c r="E3" s="9" t="s">
        <v>140</v>
      </c>
      <c r="F3" s="9" t="s">
        <v>141</v>
      </c>
      <c r="G3" s="9" t="s">
        <v>142</v>
      </c>
      <c r="H3" s="9" t="s">
        <v>143</v>
      </c>
      <c r="I3" s="9" t="s">
        <v>144</v>
      </c>
      <c r="J3" s="9" t="s">
        <v>119</v>
      </c>
      <c r="K3" s="9" t="s">
        <v>77</v>
      </c>
    </row>
    <row r="4" spans="1:11" x14ac:dyDescent="0.25">
      <c r="A4" s="6">
        <v>1</v>
      </c>
      <c r="B4" s="6" t="s">
        <v>57</v>
      </c>
      <c r="C4" s="8" t="s">
        <v>145</v>
      </c>
      <c r="D4" s="7">
        <f>RESUMEN!B5</f>
        <v>23530</v>
      </c>
      <c r="E4" s="7">
        <f>D4</f>
        <v>23530</v>
      </c>
      <c r="F4" s="8" t="s">
        <v>146</v>
      </c>
      <c r="G4" s="8" t="s">
        <v>147</v>
      </c>
      <c r="H4" s="7">
        <f>E4</f>
        <v>23530</v>
      </c>
      <c r="I4" s="11">
        <f t="shared" ref="I4:I35" si="0">E4-H4</f>
        <v>0</v>
      </c>
      <c r="J4" s="6" t="s">
        <v>11</v>
      </c>
      <c r="K4" s="6"/>
    </row>
    <row r="5" spans="1:11" x14ac:dyDescent="0.25">
      <c r="A5" s="6"/>
      <c r="B5" s="6"/>
      <c r="C5" s="8"/>
      <c r="D5" s="7"/>
      <c r="E5" s="7"/>
      <c r="F5" s="8"/>
      <c r="G5" s="8"/>
      <c r="H5" s="7"/>
      <c r="I5" s="11">
        <f t="shared" si="0"/>
        <v>0</v>
      </c>
      <c r="J5" s="6"/>
      <c r="K5" s="6"/>
    </row>
    <row r="6" spans="1:11" x14ac:dyDescent="0.25">
      <c r="A6" s="6"/>
      <c r="B6" s="6"/>
      <c r="C6" s="8"/>
      <c r="D6" s="7"/>
      <c r="E6" s="7"/>
      <c r="F6" s="8"/>
      <c r="G6" s="8"/>
      <c r="H6" s="7"/>
      <c r="I6" s="11">
        <f t="shared" si="0"/>
        <v>0</v>
      </c>
      <c r="J6" s="6"/>
      <c r="K6" s="6"/>
    </row>
    <row r="7" spans="1:11" x14ac:dyDescent="0.25">
      <c r="A7" s="6"/>
      <c r="B7" s="6"/>
      <c r="C7" s="8"/>
      <c r="D7" s="7"/>
      <c r="E7" s="7"/>
      <c r="F7" s="8"/>
      <c r="G7" s="8"/>
      <c r="H7" s="7"/>
      <c r="I7" s="11">
        <f t="shared" si="0"/>
        <v>0</v>
      </c>
      <c r="J7" s="6"/>
      <c r="K7" s="6"/>
    </row>
    <row r="8" spans="1:11" x14ac:dyDescent="0.25">
      <c r="A8" s="6"/>
      <c r="B8" s="6"/>
      <c r="C8" s="8"/>
      <c r="D8" s="7"/>
      <c r="E8" s="7"/>
      <c r="F8" s="8"/>
      <c r="G8" s="8"/>
      <c r="H8" s="7"/>
      <c r="I8" s="11">
        <f t="shared" si="0"/>
        <v>0</v>
      </c>
      <c r="J8" s="6"/>
      <c r="K8" s="6"/>
    </row>
    <row r="9" spans="1:11" x14ac:dyDescent="0.25">
      <c r="A9" s="6"/>
      <c r="B9" s="6"/>
      <c r="C9" s="8"/>
      <c r="D9" s="7"/>
      <c r="E9" s="7"/>
      <c r="F9" s="8"/>
      <c r="G9" s="8"/>
      <c r="H9" s="7"/>
      <c r="I9" s="11">
        <f t="shared" si="0"/>
        <v>0</v>
      </c>
      <c r="J9" s="6"/>
      <c r="K9" s="6"/>
    </row>
    <row r="10" spans="1:11" x14ac:dyDescent="0.25">
      <c r="A10" s="6"/>
      <c r="B10" s="6"/>
      <c r="C10" s="8"/>
      <c r="D10" s="7"/>
      <c r="E10" s="7"/>
      <c r="F10" s="8"/>
      <c r="G10" s="8"/>
      <c r="H10" s="7"/>
      <c r="I10" s="11">
        <f t="shared" si="0"/>
        <v>0</v>
      </c>
      <c r="J10" s="6"/>
      <c r="K10" s="6"/>
    </row>
    <row r="11" spans="1:11" x14ac:dyDescent="0.25">
      <c r="A11" s="6"/>
      <c r="B11" s="6"/>
      <c r="C11" s="8"/>
      <c r="D11" s="7"/>
      <c r="E11" s="7"/>
      <c r="F11" s="8"/>
      <c r="G11" s="8"/>
      <c r="H11" s="7"/>
      <c r="I11" s="11">
        <f t="shared" si="0"/>
        <v>0</v>
      </c>
      <c r="J11" s="6"/>
      <c r="K11" s="6"/>
    </row>
    <row r="12" spans="1:11" x14ac:dyDescent="0.25">
      <c r="A12" s="6"/>
      <c r="B12" s="6"/>
      <c r="C12" s="8"/>
      <c r="D12" s="7"/>
      <c r="E12" s="7"/>
      <c r="F12" s="8"/>
      <c r="G12" s="8"/>
      <c r="H12" s="7"/>
      <c r="I12" s="11">
        <f t="shared" si="0"/>
        <v>0</v>
      </c>
      <c r="J12" s="6"/>
      <c r="K12" s="6"/>
    </row>
    <row r="13" spans="1:11" x14ac:dyDescent="0.25">
      <c r="A13" s="6"/>
      <c r="B13" s="6"/>
      <c r="C13" s="8"/>
      <c r="D13" s="7"/>
      <c r="E13" s="7"/>
      <c r="F13" s="8"/>
      <c r="G13" s="8"/>
      <c r="H13" s="7"/>
      <c r="I13" s="11">
        <f t="shared" si="0"/>
        <v>0</v>
      </c>
      <c r="J13" s="6"/>
      <c r="K13" s="6"/>
    </row>
    <row r="14" spans="1:11" x14ac:dyDescent="0.25">
      <c r="A14" s="6"/>
      <c r="B14" s="6"/>
      <c r="C14" s="8"/>
      <c r="D14" s="7"/>
      <c r="E14" s="7"/>
      <c r="F14" s="8"/>
      <c r="G14" s="8"/>
      <c r="H14" s="7"/>
      <c r="I14" s="11">
        <f t="shared" si="0"/>
        <v>0</v>
      </c>
      <c r="J14" s="6"/>
      <c r="K14" s="6"/>
    </row>
    <row r="15" spans="1:11" x14ac:dyDescent="0.25">
      <c r="A15" s="6"/>
      <c r="B15" s="6"/>
      <c r="C15" s="8"/>
      <c r="D15" s="7"/>
      <c r="E15" s="7"/>
      <c r="F15" s="8"/>
      <c r="G15" s="8"/>
      <c r="H15" s="7"/>
      <c r="I15" s="11">
        <f t="shared" si="0"/>
        <v>0</v>
      </c>
      <c r="J15" s="6"/>
      <c r="K15" s="6"/>
    </row>
    <row r="16" spans="1:11" x14ac:dyDescent="0.25">
      <c r="A16" s="6"/>
      <c r="B16" s="6"/>
      <c r="C16" s="8"/>
      <c r="D16" s="7"/>
      <c r="E16" s="7"/>
      <c r="F16" s="8"/>
      <c r="G16" s="8"/>
      <c r="H16" s="7"/>
      <c r="I16" s="11">
        <f t="shared" si="0"/>
        <v>0</v>
      </c>
      <c r="J16" s="6"/>
      <c r="K16" s="6"/>
    </row>
    <row r="17" spans="1:11" x14ac:dyDescent="0.25">
      <c r="A17" s="6"/>
      <c r="B17" s="6"/>
      <c r="C17" s="8"/>
      <c r="D17" s="7"/>
      <c r="E17" s="7"/>
      <c r="F17" s="8"/>
      <c r="G17" s="8"/>
      <c r="H17" s="7"/>
      <c r="I17" s="11">
        <f t="shared" si="0"/>
        <v>0</v>
      </c>
      <c r="J17" s="6"/>
      <c r="K17" s="6"/>
    </row>
    <row r="18" spans="1:11" x14ac:dyDescent="0.25">
      <c r="A18" s="6"/>
      <c r="B18" s="6"/>
      <c r="C18" s="8"/>
      <c r="D18" s="7"/>
      <c r="E18" s="7"/>
      <c r="F18" s="8"/>
      <c r="G18" s="8"/>
      <c r="H18" s="7"/>
      <c r="I18" s="11">
        <f t="shared" si="0"/>
        <v>0</v>
      </c>
      <c r="J18" s="6"/>
      <c r="K18" s="6"/>
    </row>
    <row r="19" spans="1:11" x14ac:dyDescent="0.25">
      <c r="A19" s="6"/>
      <c r="B19" s="6"/>
      <c r="C19" s="8"/>
      <c r="D19" s="7"/>
      <c r="E19" s="7"/>
      <c r="F19" s="8"/>
      <c r="G19" s="8"/>
      <c r="H19" s="7"/>
      <c r="I19" s="11">
        <f t="shared" si="0"/>
        <v>0</v>
      </c>
      <c r="J19" s="6"/>
      <c r="K19" s="6"/>
    </row>
    <row r="20" spans="1:11" x14ac:dyDescent="0.25">
      <c r="A20" s="6"/>
      <c r="B20" s="6"/>
      <c r="C20" s="8"/>
      <c r="D20" s="7"/>
      <c r="E20" s="7"/>
      <c r="F20" s="8"/>
      <c r="G20" s="8"/>
      <c r="H20" s="7"/>
      <c r="I20" s="11">
        <f t="shared" si="0"/>
        <v>0</v>
      </c>
      <c r="J20" s="6"/>
      <c r="K20" s="6"/>
    </row>
    <row r="21" spans="1:11" x14ac:dyDescent="0.25">
      <c r="A21" s="6"/>
      <c r="B21" s="6"/>
      <c r="C21" s="8"/>
      <c r="D21" s="7"/>
      <c r="E21" s="7"/>
      <c r="F21" s="8"/>
      <c r="G21" s="8"/>
      <c r="H21" s="7"/>
      <c r="I21" s="11">
        <f t="shared" si="0"/>
        <v>0</v>
      </c>
      <c r="J21" s="6"/>
      <c r="K21" s="6"/>
    </row>
    <row r="22" spans="1:11" x14ac:dyDescent="0.25">
      <c r="A22" s="6"/>
      <c r="B22" s="6"/>
      <c r="C22" s="8"/>
      <c r="D22" s="7"/>
      <c r="E22" s="7"/>
      <c r="F22" s="8"/>
      <c r="G22" s="8"/>
      <c r="H22" s="7"/>
      <c r="I22" s="11">
        <f t="shared" si="0"/>
        <v>0</v>
      </c>
      <c r="J22" s="6"/>
      <c r="K22" s="6"/>
    </row>
    <row r="23" spans="1:11" x14ac:dyDescent="0.25">
      <c r="A23" s="6"/>
      <c r="B23" s="6"/>
      <c r="C23" s="8"/>
      <c r="D23" s="7"/>
      <c r="E23" s="7"/>
      <c r="F23" s="8"/>
      <c r="G23" s="8"/>
      <c r="H23" s="7"/>
      <c r="I23" s="11">
        <f t="shared" si="0"/>
        <v>0</v>
      </c>
      <c r="J23" s="6"/>
      <c r="K23" s="6"/>
    </row>
    <row r="24" spans="1:11" x14ac:dyDescent="0.25">
      <c r="A24" s="6"/>
      <c r="B24" s="6"/>
      <c r="C24" s="8"/>
      <c r="D24" s="7"/>
      <c r="E24" s="7"/>
      <c r="F24" s="8"/>
      <c r="G24" s="8"/>
      <c r="H24" s="7"/>
      <c r="I24" s="11">
        <f t="shared" si="0"/>
        <v>0</v>
      </c>
      <c r="J24" s="6"/>
      <c r="K24" s="6"/>
    </row>
    <row r="25" spans="1:11" x14ac:dyDescent="0.25">
      <c r="A25" s="6"/>
      <c r="B25" s="6"/>
      <c r="C25" s="8"/>
      <c r="D25" s="7"/>
      <c r="E25" s="7"/>
      <c r="F25" s="8"/>
      <c r="G25" s="8"/>
      <c r="H25" s="7"/>
      <c r="I25" s="11">
        <f t="shared" si="0"/>
        <v>0</v>
      </c>
      <c r="J25" s="6"/>
      <c r="K25" s="6"/>
    </row>
    <row r="26" spans="1:11" x14ac:dyDescent="0.25">
      <c r="A26" s="6"/>
      <c r="B26" s="6"/>
      <c r="C26" s="8"/>
      <c r="D26" s="7"/>
      <c r="E26" s="7"/>
      <c r="F26" s="8"/>
      <c r="G26" s="8"/>
      <c r="H26" s="7"/>
      <c r="I26" s="11">
        <f t="shared" si="0"/>
        <v>0</v>
      </c>
      <c r="J26" s="6"/>
      <c r="K26" s="6"/>
    </row>
    <row r="27" spans="1:11" x14ac:dyDescent="0.25">
      <c r="A27" s="6"/>
      <c r="B27" s="6"/>
      <c r="C27" s="8"/>
      <c r="D27" s="7"/>
      <c r="E27" s="7"/>
      <c r="F27" s="8"/>
      <c r="G27" s="8"/>
      <c r="H27" s="7"/>
      <c r="I27" s="11">
        <f t="shared" si="0"/>
        <v>0</v>
      </c>
      <c r="J27" s="6"/>
      <c r="K27" s="6"/>
    </row>
    <row r="28" spans="1:11" x14ac:dyDescent="0.25">
      <c r="A28" s="6"/>
      <c r="B28" s="6"/>
      <c r="C28" s="8"/>
      <c r="D28" s="7"/>
      <c r="E28" s="7"/>
      <c r="F28" s="8"/>
      <c r="G28" s="8"/>
      <c r="H28" s="7"/>
      <c r="I28" s="11">
        <f t="shared" si="0"/>
        <v>0</v>
      </c>
      <c r="J28" s="6"/>
      <c r="K28" s="6"/>
    </row>
    <row r="29" spans="1:11" x14ac:dyDescent="0.25">
      <c r="A29" s="6"/>
      <c r="B29" s="6"/>
      <c r="C29" s="8"/>
      <c r="D29" s="7"/>
      <c r="E29" s="7"/>
      <c r="F29" s="8"/>
      <c r="G29" s="8"/>
      <c r="H29" s="7"/>
      <c r="I29" s="11">
        <f t="shared" si="0"/>
        <v>0</v>
      </c>
      <c r="J29" s="6"/>
      <c r="K29" s="6"/>
    </row>
    <row r="30" spans="1:11" x14ac:dyDescent="0.25">
      <c r="A30" s="6"/>
      <c r="B30" s="6"/>
      <c r="C30" s="8"/>
      <c r="D30" s="7"/>
      <c r="E30" s="7"/>
      <c r="F30" s="8"/>
      <c r="G30" s="8"/>
      <c r="H30" s="7"/>
      <c r="I30" s="11">
        <f t="shared" si="0"/>
        <v>0</v>
      </c>
      <c r="J30" s="6"/>
      <c r="K30" s="6"/>
    </row>
    <row r="31" spans="1:11" x14ac:dyDescent="0.25">
      <c r="A31" s="6"/>
      <c r="B31" s="6"/>
      <c r="C31" s="8"/>
      <c r="D31" s="7"/>
      <c r="E31" s="7"/>
      <c r="F31" s="8"/>
      <c r="G31" s="8"/>
      <c r="H31" s="7"/>
      <c r="I31" s="11">
        <f t="shared" si="0"/>
        <v>0</v>
      </c>
      <c r="J31" s="6"/>
      <c r="K31" s="6"/>
    </row>
    <row r="32" spans="1:11" x14ac:dyDescent="0.25">
      <c r="A32" s="6"/>
      <c r="B32" s="6"/>
      <c r="C32" s="8"/>
      <c r="D32" s="7"/>
      <c r="E32" s="7"/>
      <c r="F32" s="8"/>
      <c r="G32" s="8"/>
      <c r="H32" s="7"/>
      <c r="I32" s="11">
        <f t="shared" si="0"/>
        <v>0</v>
      </c>
      <c r="J32" s="6"/>
      <c r="K32" s="6"/>
    </row>
    <row r="33" spans="1:11" x14ac:dyDescent="0.25">
      <c r="A33" s="6"/>
      <c r="B33" s="6"/>
      <c r="C33" s="8"/>
      <c r="D33" s="7"/>
      <c r="E33" s="7"/>
      <c r="F33" s="8"/>
      <c r="G33" s="8"/>
      <c r="H33" s="7"/>
      <c r="I33" s="11">
        <f t="shared" si="0"/>
        <v>0</v>
      </c>
      <c r="J33" s="6"/>
      <c r="K33" s="6"/>
    </row>
    <row r="34" spans="1:11" x14ac:dyDescent="0.25">
      <c r="A34" s="6"/>
      <c r="B34" s="6"/>
      <c r="C34" s="8"/>
      <c r="D34" s="7"/>
      <c r="E34" s="7"/>
      <c r="F34" s="8"/>
      <c r="G34" s="8"/>
      <c r="H34" s="7"/>
      <c r="I34" s="11">
        <f t="shared" si="0"/>
        <v>0</v>
      </c>
      <c r="J34" s="6"/>
      <c r="K34" s="6"/>
    </row>
    <row r="35" spans="1:11" x14ac:dyDescent="0.25">
      <c r="A35" s="6"/>
      <c r="B35" s="6"/>
      <c r="C35" s="8"/>
      <c r="D35" s="7"/>
      <c r="E35" s="7"/>
      <c r="F35" s="8"/>
      <c r="G35" s="8"/>
      <c r="H35" s="7"/>
      <c r="I35" s="11">
        <f t="shared" si="0"/>
        <v>0</v>
      </c>
      <c r="J35" s="6"/>
      <c r="K35" s="6"/>
    </row>
    <row r="36" spans="1:11" x14ac:dyDescent="0.25">
      <c r="A36" s="6"/>
      <c r="B36" s="6"/>
      <c r="C36" s="8"/>
      <c r="D36" s="7"/>
      <c r="E36" s="7"/>
      <c r="F36" s="8"/>
      <c r="G36" s="8"/>
      <c r="H36" s="7"/>
      <c r="I36" s="11">
        <f t="shared" ref="I36:I53" si="1">E36-H36</f>
        <v>0</v>
      </c>
      <c r="J36" s="6"/>
      <c r="K36" s="6"/>
    </row>
    <row r="37" spans="1:11" x14ac:dyDescent="0.25">
      <c r="A37" s="6"/>
      <c r="B37" s="6"/>
      <c r="C37" s="8"/>
      <c r="D37" s="7"/>
      <c r="E37" s="7"/>
      <c r="F37" s="8"/>
      <c r="G37" s="8"/>
      <c r="H37" s="7"/>
      <c r="I37" s="11">
        <f t="shared" si="1"/>
        <v>0</v>
      </c>
      <c r="J37" s="6"/>
      <c r="K37" s="6"/>
    </row>
    <row r="38" spans="1:11" x14ac:dyDescent="0.25">
      <c r="A38" s="6"/>
      <c r="B38" s="6"/>
      <c r="C38" s="8"/>
      <c r="D38" s="7"/>
      <c r="E38" s="7"/>
      <c r="F38" s="8"/>
      <c r="G38" s="8"/>
      <c r="H38" s="7"/>
      <c r="I38" s="11">
        <f t="shared" si="1"/>
        <v>0</v>
      </c>
      <c r="J38" s="6"/>
      <c r="K38" s="6"/>
    </row>
    <row r="39" spans="1:11" x14ac:dyDescent="0.25">
      <c r="A39" s="6"/>
      <c r="B39" s="6"/>
      <c r="C39" s="8"/>
      <c r="D39" s="7"/>
      <c r="E39" s="7"/>
      <c r="F39" s="8"/>
      <c r="G39" s="8"/>
      <c r="H39" s="7"/>
      <c r="I39" s="11">
        <f t="shared" si="1"/>
        <v>0</v>
      </c>
      <c r="J39" s="6"/>
      <c r="K39" s="6"/>
    </row>
    <row r="40" spans="1:11" x14ac:dyDescent="0.25">
      <c r="A40" s="6"/>
      <c r="B40" s="6"/>
      <c r="C40" s="8"/>
      <c r="D40" s="7"/>
      <c r="E40" s="7"/>
      <c r="F40" s="8"/>
      <c r="G40" s="8"/>
      <c r="H40" s="7"/>
      <c r="I40" s="11">
        <f t="shared" si="1"/>
        <v>0</v>
      </c>
      <c r="J40" s="6"/>
      <c r="K40" s="6"/>
    </row>
    <row r="41" spans="1:11" x14ac:dyDescent="0.25">
      <c r="A41" s="6"/>
      <c r="B41" s="6"/>
      <c r="C41" s="8"/>
      <c r="D41" s="7"/>
      <c r="E41" s="7"/>
      <c r="F41" s="8"/>
      <c r="G41" s="8"/>
      <c r="H41" s="7"/>
      <c r="I41" s="11">
        <f t="shared" si="1"/>
        <v>0</v>
      </c>
      <c r="J41" s="6"/>
      <c r="K41" s="6"/>
    </row>
    <row r="42" spans="1:11" x14ac:dyDescent="0.25">
      <c r="A42" s="6"/>
      <c r="B42" s="6"/>
      <c r="C42" s="8"/>
      <c r="D42" s="7"/>
      <c r="E42" s="7"/>
      <c r="F42" s="8"/>
      <c r="G42" s="8"/>
      <c r="H42" s="7"/>
      <c r="I42" s="11">
        <f t="shared" si="1"/>
        <v>0</v>
      </c>
      <c r="J42" s="6"/>
      <c r="K42" s="6"/>
    </row>
    <row r="43" spans="1:11" x14ac:dyDescent="0.25">
      <c r="A43" s="6"/>
      <c r="B43" s="6"/>
      <c r="C43" s="8"/>
      <c r="D43" s="7"/>
      <c r="E43" s="7"/>
      <c r="F43" s="8"/>
      <c r="G43" s="8"/>
      <c r="H43" s="7"/>
      <c r="I43" s="11">
        <f t="shared" si="1"/>
        <v>0</v>
      </c>
      <c r="J43" s="6"/>
      <c r="K43" s="6"/>
    </row>
    <row r="44" spans="1:11" x14ac:dyDescent="0.25">
      <c r="A44" s="6"/>
      <c r="B44" s="6"/>
      <c r="C44" s="8"/>
      <c r="D44" s="7"/>
      <c r="E44" s="7"/>
      <c r="F44" s="8"/>
      <c r="G44" s="8"/>
      <c r="H44" s="7"/>
      <c r="I44" s="11">
        <f t="shared" si="1"/>
        <v>0</v>
      </c>
      <c r="J44" s="6"/>
      <c r="K44" s="6"/>
    </row>
    <row r="45" spans="1:11" x14ac:dyDescent="0.25">
      <c r="A45" s="6"/>
      <c r="B45" s="6"/>
      <c r="C45" s="8"/>
      <c r="D45" s="7"/>
      <c r="E45" s="7"/>
      <c r="F45" s="8"/>
      <c r="G45" s="8"/>
      <c r="H45" s="7"/>
      <c r="I45" s="11">
        <f t="shared" si="1"/>
        <v>0</v>
      </c>
      <c r="J45" s="6"/>
      <c r="K45" s="6"/>
    </row>
    <row r="46" spans="1:11" x14ac:dyDescent="0.25">
      <c r="A46" s="6"/>
      <c r="B46" s="6"/>
      <c r="C46" s="8"/>
      <c r="D46" s="7"/>
      <c r="E46" s="7"/>
      <c r="F46" s="8"/>
      <c r="G46" s="8"/>
      <c r="H46" s="7"/>
      <c r="I46" s="11">
        <f t="shared" si="1"/>
        <v>0</v>
      </c>
      <c r="J46" s="6"/>
      <c r="K46" s="6"/>
    </row>
    <row r="47" spans="1:11" x14ac:dyDescent="0.25">
      <c r="A47" s="6"/>
      <c r="B47" s="6"/>
      <c r="C47" s="8"/>
      <c r="D47" s="7"/>
      <c r="E47" s="7"/>
      <c r="F47" s="8"/>
      <c r="G47" s="8"/>
      <c r="H47" s="7"/>
      <c r="I47" s="11">
        <f t="shared" si="1"/>
        <v>0</v>
      </c>
      <c r="J47" s="6"/>
      <c r="K47" s="6"/>
    </row>
    <row r="48" spans="1:11" x14ac:dyDescent="0.25">
      <c r="A48" s="6"/>
      <c r="B48" s="6"/>
      <c r="C48" s="8"/>
      <c r="D48" s="7"/>
      <c r="E48" s="7"/>
      <c r="F48" s="8"/>
      <c r="G48" s="8"/>
      <c r="H48" s="7"/>
      <c r="I48" s="11">
        <f t="shared" si="1"/>
        <v>0</v>
      </c>
      <c r="J48" s="6"/>
      <c r="K48" s="6"/>
    </row>
    <row r="49" spans="1:11" x14ac:dyDescent="0.25">
      <c r="A49" s="6"/>
      <c r="B49" s="6"/>
      <c r="C49" s="8"/>
      <c r="D49" s="7"/>
      <c r="E49" s="7"/>
      <c r="F49" s="8"/>
      <c r="G49" s="8"/>
      <c r="H49" s="7"/>
      <c r="I49" s="11">
        <f t="shared" si="1"/>
        <v>0</v>
      </c>
      <c r="J49" s="6"/>
      <c r="K49" s="6"/>
    </row>
    <row r="50" spans="1:11" x14ac:dyDescent="0.25">
      <c r="A50" s="6"/>
      <c r="B50" s="6"/>
      <c r="C50" s="8"/>
      <c r="D50" s="7"/>
      <c r="E50" s="7"/>
      <c r="F50" s="8"/>
      <c r="G50" s="8"/>
      <c r="H50" s="7"/>
      <c r="I50" s="11">
        <f t="shared" si="1"/>
        <v>0</v>
      </c>
      <c r="J50" s="6"/>
      <c r="K50" s="6"/>
    </row>
    <row r="51" spans="1:11" x14ac:dyDescent="0.25">
      <c r="A51" s="6"/>
      <c r="B51" s="6"/>
      <c r="C51" s="8"/>
      <c r="D51" s="7"/>
      <c r="E51" s="7"/>
      <c r="F51" s="8"/>
      <c r="G51" s="8"/>
      <c r="H51" s="7"/>
      <c r="I51" s="11">
        <f t="shared" si="1"/>
        <v>0</v>
      </c>
      <c r="J51" s="6"/>
      <c r="K51" s="6"/>
    </row>
    <row r="52" spans="1:11" x14ac:dyDescent="0.25">
      <c r="A52" s="6"/>
      <c r="B52" s="6"/>
      <c r="C52" s="8"/>
      <c r="D52" s="7"/>
      <c r="E52" s="7"/>
      <c r="F52" s="8"/>
      <c r="G52" s="8"/>
      <c r="H52" s="7"/>
      <c r="I52" s="11">
        <f t="shared" si="1"/>
        <v>0</v>
      </c>
      <c r="J52" s="6"/>
      <c r="K52" s="6"/>
    </row>
    <row r="53" spans="1:11" x14ac:dyDescent="0.25">
      <c r="A53" s="6"/>
      <c r="B53" s="6"/>
      <c r="C53" s="8"/>
      <c r="D53" s="7"/>
      <c r="E53" s="7"/>
      <c r="F53" s="8"/>
      <c r="G53" s="8"/>
      <c r="H53" s="7"/>
      <c r="I53" s="11">
        <f t="shared" si="1"/>
        <v>0</v>
      </c>
      <c r="J53" s="6"/>
      <c r="K53" s="6"/>
    </row>
  </sheetData>
  <dataValidations count="1">
    <dataValidation type="list" sqref="J4 J5 J6 J7 J8 J9 J10 J11 J12 J13 J14 J15 J16 J17 J18 J19 J20 J21 J22 J23 J24 J25 J26 J27 J28 J29 J30 J31 J32 J33 J34 J35 J36 J37 J38 J39 J40 J41 J42 J43 J44 J45 J46 J47 J48 J49 J50 J51 J52 J53" xr:uid="{00000000-0002-0000-0500-000000000000}">
      <formula1>lstEstadosVal</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workbookViewId="0">
      <selection activeCell="J21" sqref="J21"/>
    </sheetView>
  </sheetViews>
  <sheetFormatPr baseColWidth="10" defaultColWidth="9.140625" defaultRowHeight="15" x14ac:dyDescent="0.25"/>
  <cols>
    <col min="1" max="1" width="39.5703125" customWidth="1"/>
    <col min="2" max="2" width="16" customWidth="1"/>
    <col min="5" max="5" width="17.7109375" bestFit="1" customWidth="1"/>
    <col min="6" max="6" width="30" customWidth="1"/>
    <col min="7" max="8" width="14" customWidth="1"/>
    <col min="9" max="9" width="16" customWidth="1"/>
    <col min="10" max="10" width="14" customWidth="1"/>
    <col min="11" max="11" width="16" customWidth="1"/>
  </cols>
  <sheetData>
    <row r="1" spans="1:11" ht="18.75" x14ac:dyDescent="0.3">
      <c r="A1" s="1" t="s">
        <v>148</v>
      </c>
    </row>
    <row r="3" spans="1:11" x14ac:dyDescent="0.25">
      <c r="A3" s="34" t="s">
        <v>149</v>
      </c>
      <c r="B3" s="35"/>
      <c r="C3" s="35"/>
      <c r="D3" s="36"/>
      <c r="E3" s="34" t="s">
        <v>150</v>
      </c>
      <c r="F3" s="35"/>
      <c r="G3" s="35"/>
      <c r="H3" s="35"/>
      <c r="I3" s="35"/>
      <c r="J3" s="35"/>
      <c r="K3" s="36"/>
    </row>
    <row r="4" spans="1:11" ht="30" x14ac:dyDescent="0.25">
      <c r="A4" s="3" t="s">
        <v>53</v>
      </c>
      <c r="B4" s="20">
        <f>SUM('PRESUPUESTO BASE'!H4:H103)</f>
        <v>132500</v>
      </c>
      <c r="E4" s="25" t="s">
        <v>44</v>
      </c>
      <c r="F4" s="25" t="s">
        <v>21</v>
      </c>
      <c r="G4" s="25" t="s">
        <v>151</v>
      </c>
      <c r="H4" s="9" t="s">
        <v>173</v>
      </c>
      <c r="I4" s="25" t="s">
        <v>152</v>
      </c>
      <c r="J4" s="25" t="s">
        <v>153</v>
      </c>
      <c r="K4" s="9" t="s">
        <v>153</v>
      </c>
    </row>
    <row r="5" spans="1:11" x14ac:dyDescent="0.25">
      <c r="A5" s="3" t="s">
        <v>154</v>
      </c>
      <c r="B5" s="20">
        <f>SUM(VALORIZACIÓN!N4:N103)</f>
        <v>23530</v>
      </c>
      <c r="E5" s="26" t="str">
        <f>IFERROR(INDEX(VALORIZACIÓN!$B$4:$B$103,MATCH(ROWS($E$5:E5),VALORIZACIÓN!$S$4:$S$103,0)),"")</f>
        <v>ARQ-01</v>
      </c>
      <c r="F5" s="27" t="str">
        <f>IFERROR(INDEX(VALORIZACIÓN!$C$4:$C$103,MATCH(ROWS($E$5:E5),VALORIZACIÓN!$S$4:$S$103,0)),"")</f>
        <v>Demoliciones menores</v>
      </c>
      <c r="G5" s="26">
        <f>IF(E5="","",INDEX(VALORIZACIÓN!$N$4:$N$103,MATCH(ROWS($E$5:E5),VALORIZACIÓN!$S$4:$S$103,0)))</f>
        <v>450</v>
      </c>
      <c r="H5" s="40">
        <f>IF(E5="","",INDEX(VALORIZACIÓN!$J$4:$J$103,MATCH(ROWS($E$5:E5),VALORIZACIÓN!$S$4:$S$103,0)))</f>
        <v>0.35</v>
      </c>
      <c r="I5" s="26">
        <f>IF(E5="","",INDEX(VALORIZACIÓN!$O$4:$O$103,MATCH(ROWS($E$5:E5),VALORIZACIÓN!$S$4:$S$103,0)))</f>
        <v>1050</v>
      </c>
      <c r="J5" s="26">
        <f>IF(E5="","",INDEX(VALORIZACIÓN!$P$4:$P$103,MATCH(ROWS($E$5:E5),VALORIZACIÓN!$S$4:$S$103,0)))</f>
        <v>1950</v>
      </c>
      <c r="K5" s="21">
        <f>VALORIZACIÓN!P4</f>
        <v>1950</v>
      </c>
    </row>
    <row r="6" spans="1:11" x14ac:dyDescent="0.25">
      <c r="A6" s="3" t="s">
        <v>155</v>
      </c>
      <c r="B6" s="20">
        <f>SUM(VALORIZACIÓN!O4:O103)</f>
        <v>35839</v>
      </c>
      <c r="E6" s="26" t="str">
        <f>IFERROR(INDEX(VALORIZACIÓN!$B$4:$B$103,MATCH(ROWS($E$5:E6),VALORIZACIÓN!$S$4:$S$103,0)),"")</f>
        <v>ARQ-02</v>
      </c>
      <c r="F6" s="27" t="str">
        <f>IFERROR(INDEX(VALORIZACIÓN!$C$4:$C$103,MATCH(ROWS($E$5:E6),VALORIZACIÓN!$S$4:$S$103,0)),"")</f>
        <v>Tabiquería drywall</v>
      </c>
      <c r="G6" s="26">
        <f>IF(E6="","",INDEX(VALORIZACIÓN!$N$4:$N$103,MATCH(ROWS($E$5:E6),VALORIZACIÓN!$S$4:$S$103,0)))</f>
        <v>3420</v>
      </c>
      <c r="H6" s="40">
        <f>IF(E6="","",INDEX(VALORIZACIÓN!$J$4:$J$103,MATCH(ROWS($E$5:E6),VALORIZACIÓN!$S$4:$S$103,0)))</f>
        <v>0.30000000000000004</v>
      </c>
      <c r="I6" s="26">
        <f>IF(E6="","",INDEX(VALORIZACIÓN!$O$4:$O$103,MATCH(ROWS($E$5:E6),VALORIZACIÓN!$S$4:$S$103,0)))</f>
        <v>5130.0000000000009</v>
      </c>
      <c r="J6" s="26">
        <f>IF(E6="","",INDEX(VALORIZACIÓN!$P$4:$P$103,MATCH(ROWS($E$5:E6),VALORIZACIÓN!$S$4:$S$103,0)))</f>
        <v>11970</v>
      </c>
      <c r="K6" s="21">
        <f>VALORIZACIÓN!P5</f>
        <v>11970</v>
      </c>
    </row>
    <row r="7" spans="1:11" x14ac:dyDescent="0.25">
      <c r="A7" s="3" t="s">
        <v>156</v>
      </c>
      <c r="B7" s="20">
        <f>SUMIFS(ADICIONALES!I4:I103,ADICIONALES!C4:C103,"Adicional",ADICIONALES!J4:J103,"Aprobado")</f>
        <v>3200</v>
      </c>
      <c r="E7" s="26" t="str">
        <f>IFERROR(INDEX(VALORIZACIÓN!$B$4:$B$103,MATCH(ROWS($E$5:E7),VALORIZACIÓN!$S$4:$S$103,0)),"")</f>
        <v>ARQ-03</v>
      </c>
      <c r="F7" s="27" t="str">
        <f>IFERROR(INDEX(VALORIZACIÓN!$C$4:$C$103,MATCH(ROWS($E$5:E7),VALORIZACIÓN!$S$4:$S$103,0)),"")</f>
        <v>Cielorraso</v>
      </c>
      <c r="G7" s="26">
        <f>IF(E7="","",INDEX(VALORIZACIÓN!$N$4:$N$103,MATCH(ROWS($E$5:E7),VALORIZACIÓN!$S$4:$S$103,0)))</f>
        <v>1116</v>
      </c>
      <c r="H7" s="40">
        <f>IF(E7="","",INDEX(VALORIZACIÓN!$J$4:$J$103,MATCH(ROWS($E$5:E7),VALORIZACIÓN!$S$4:$S$103,0)))</f>
        <v>0.1</v>
      </c>
      <c r="I7" s="26">
        <f>IF(E7="","",INDEX(VALORIZACIÓN!$O$4:$O$103,MATCH(ROWS($E$5:E7),VALORIZACIÓN!$S$4:$S$103,0)))</f>
        <v>1116</v>
      </c>
      <c r="J7" s="26">
        <f>IF(E7="","",INDEX(VALORIZACIÓN!$P$4:$P$103,MATCH(ROWS($E$5:E7),VALORIZACIÓN!$S$4:$S$103,0)))</f>
        <v>10044</v>
      </c>
      <c r="K7" s="21">
        <f>VALORIZACIÓN!P6</f>
        <v>10044</v>
      </c>
    </row>
    <row r="8" spans="1:11" x14ac:dyDescent="0.25">
      <c r="A8" s="3" t="s">
        <v>157</v>
      </c>
      <c r="B8" s="20">
        <f>SUMIFS(ADICIONALES!I4:I103,ADICIONALES!C4:C103,"Deductivo",ADICIONALES!J4:J103,"Aprobado")</f>
        <v>1140</v>
      </c>
      <c r="E8" s="26" t="str">
        <f>IFERROR(INDEX(VALORIZACIÓN!$B$4:$B$103,MATCH(ROWS($E$5:E8),VALORIZACIÓN!$S$4:$S$103,0)),"")</f>
        <v>ARQ-04</v>
      </c>
      <c r="F8" s="27" t="str">
        <f>IFERROR(INDEX(VALORIZACIÓN!$C$4:$C$103,MATCH(ROWS($E$5:E8),VALORIZACIÓN!$S$4:$S$103,0)),"")</f>
        <v>Piso porcelanato</v>
      </c>
      <c r="G8" s="26">
        <f>IF(E8="","",INDEX(VALORIZACIÓN!$N$4:$N$103,MATCH(ROWS($E$5:E8),VALORIZACIÓN!$S$4:$S$103,0)))</f>
        <v>3894</v>
      </c>
      <c r="H8" s="40">
        <f>IF(E8="","",INDEX(VALORIZACIÓN!$J$4:$J$103,MATCH(ROWS($E$5:E8),VALORIZACIÓN!$S$4:$S$103,0)))</f>
        <v>0.3</v>
      </c>
      <c r="I8" s="26">
        <f>IF(E8="","",INDEX(VALORIZACIÓN!$O$4:$O$103,MATCH(ROWS($E$5:E8),VALORIZACIÓN!$S$4:$S$103,0)))</f>
        <v>7788</v>
      </c>
      <c r="J8" s="26">
        <f>IF(E8="","",INDEX(VALORIZACIÓN!$P$4:$P$103,MATCH(ROWS($E$5:E8),VALORIZACIÓN!$S$4:$S$103,0)))</f>
        <v>18172</v>
      </c>
      <c r="K8" s="21">
        <f>VALORIZACIÓN!P7</f>
        <v>18172</v>
      </c>
    </row>
    <row r="9" spans="1:11" x14ac:dyDescent="0.25">
      <c r="A9" s="3" t="s">
        <v>158</v>
      </c>
      <c r="B9" s="20">
        <f>B4+B7-B8</f>
        <v>134560</v>
      </c>
      <c r="E9" s="26" t="str">
        <f>IFERROR(INDEX(VALORIZACIÓN!$B$4:$B$103,MATCH(ROWS($E$5:E9),VALORIZACIÓN!$S$4:$S$103,0)),"")</f>
        <v>ARQ-05</v>
      </c>
      <c r="F9" s="27" t="str">
        <f>IFERROR(INDEX(VALORIZACIÓN!$C$4:$C$103,MATCH(ROWS($E$5:E9),VALORIZACIÓN!$S$4:$S$103,0)),"")</f>
        <v>Pintura general</v>
      </c>
      <c r="G9" s="26">
        <f>IF(E9="","",INDEX(VALORIZACIÓN!$N$4:$N$103,MATCH(ROWS($E$5:E9),VALORIZACIÓN!$S$4:$S$103,0)))</f>
        <v>4080</v>
      </c>
      <c r="H9" s="40">
        <f>IF(E9="","",INDEX(VALORIZACIÓN!$J$4:$J$103,MATCH(ROWS($E$5:E9),VALORIZACIÓN!$S$4:$S$103,0)))</f>
        <v>0.3</v>
      </c>
      <c r="I9" s="26">
        <f>IF(E9="","",INDEX(VALORIZACIÓN!$O$4:$O$103,MATCH(ROWS($E$5:E9),VALORIZACIÓN!$S$4:$S$103,0)))</f>
        <v>4080</v>
      </c>
      <c r="J9" s="26">
        <f>IF(E9="","",INDEX(VALORIZACIÓN!$P$4:$P$103,MATCH(ROWS($E$5:E9),VALORIZACIÓN!$S$4:$S$103,0)))</f>
        <v>9520</v>
      </c>
      <c r="K9" s="21">
        <f>VALORIZACIÓN!P8</f>
        <v>9520</v>
      </c>
    </row>
    <row r="10" spans="1:11" x14ac:dyDescent="0.25">
      <c r="A10" s="3" t="s">
        <v>159</v>
      </c>
      <c r="B10" s="20">
        <f>SUM('CONTROL DE PAGOS'!H4:H53)</f>
        <v>23530</v>
      </c>
      <c r="E10" s="26" t="str">
        <f>IFERROR(INDEX(VALORIZACIÓN!$B$4:$B$103,MATCH(ROWS($E$5:E10),VALORIZACIÓN!$S$4:$S$103,0)),"")</f>
        <v>ELE-01</v>
      </c>
      <c r="F10" s="27" t="str">
        <f>IFERROR(INDEX(VALORIZACIÓN!$C$4:$C$103,MATCH(ROWS($E$5:E10),VALORIZACIÓN!$S$4:$S$103,0)),"")</f>
        <v>Red eléctrica</v>
      </c>
      <c r="G10" s="26">
        <f>IF(E10="","",INDEX(VALORIZACIÓN!$N$4:$N$103,MATCH(ROWS($E$5:E10),VALORIZACIÓN!$S$4:$S$103,0)))</f>
        <v>2775</v>
      </c>
      <c r="H10" s="40">
        <f>IF(E10="","",INDEX(VALORIZACIÓN!$J$4:$J$103,MATCH(ROWS($E$5:E10),VALORIZACIÓN!$S$4:$S$103,0)))</f>
        <v>0.4</v>
      </c>
      <c r="I10" s="26">
        <f>IF(E10="","",INDEX(VALORIZACIÓN!$O$4:$O$103,MATCH(ROWS($E$5:E10),VALORIZACIÓN!$S$4:$S$103,0)))</f>
        <v>7400</v>
      </c>
      <c r="J10" s="26">
        <f>IF(E10="","",INDEX(VALORIZACIÓN!$P$4:$P$103,MATCH(ROWS($E$5:E10),VALORIZACIÓN!$S$4:$S$103,0)))</f>
        <v>11100</v>
      </c>
      <c r="K10" s="21">
        <f>VALORIZACIÓN!P9</f>
        <v>11100</v>
      </c>
    </row>
    <row r="11" spans="1:11" x14ac:dyDescent="0.25">
      <c r="A11" s="3" t="s">
        <v>144</v>
      </c>
      <c r="B11" s="20">
        <f>B6-B10</f>
        <v>12309</v>
      </c>
      <c r="E11" s="26" t="str">
        <f>IFERROR(INDEX(VALORIZACIÓN!$B$4:$B$103,MATCH(ROWS($E$5:E11),VALORIZACIÓN!$S$4:$S$103,0)),"")</f>
        <v>SAN-01</v>
      </c>
      <c r="F11" s="27" t="str">
        <f>IFERROR(INDEX(VALORIZACIÓN!$C$4:$C$103,MATCH(ROWS($E$5:E11),VALORIZACIÓN!$S$4:$S$103,0)),"")</f>
        <v>Adecuación sanitaria</v>
      </c>
      <c r="G11" s="26">
        <f>IF(E11="","",INDEX(VALORIZACIÓN!$N$4:$N$103,MATCH(ROWS($E$5:E11),VALORIZACIÓN!$S$4:$S$103,0)))</f>
        <v>1840</v>
      </c>
      <c r="H11" s="40">
        <f>IF(E11="","",INDEX(VALORIZACIÓN!$J$4:$J$103,MATCH(ROWS($E$5:E11),VALORIZACIÓN!$S$4:$S$103,0)))</f>
        <v>0.2</v>
      </c>
      <c r="I11" s="26">
        <f>IF(E11="","",INDEX(VALORIZACIÓN!$O$4:$O$103,MATCH(ROWS($E$5:E11),VALORIZACIÓN!$S$4:$S$103,0)))</f>
        <v>1840</v>
      </c>
      <c r="J11" s="26">
        <f>IF(E11="","",INDEX(VALORIZACIÓN!$P$4:$P$103,MATCH(ROWS($E$5:E11),VALORIZACIÓN!$S$4:$S$103,0)))</f>
        <v>7360</v>
      </c>
      <c r="K11" s="21">
        <f>VALORIZACIÓN!P10</f>
        <v>7360</v>
      </c>
    </row>
    <row r="12" spans="1:11" x14ac:dyDescent="0.25">
      <c r="A12" s="3" t="s">
        <v>118</v>
      </c>
      <c r="B12" s="20">
        <f>B9-B6</f>
        <v>98721</v>
      </c>
      <c r="E12" s="26" t="str">
        <f>IFERROR(INDEX(VALORIZACIÓN!$B$4:$B$103,MATCH(ROWS($E$5:E12),VALORIZACIÓN!$S$4:$S$103,0)),"")</f>
        <v>MOB-01</v>
      </c>
      <c r="F12" s="27" t="str">
        <f>IFERROR(INDEX(VALORIZACIÓN!$C$4:$C$103,MATCH(ROWS($E$5:E12),VALORIZACIÓN!$S$4:$S$103,0)),"")</f>
        <v>Carpintería fija</v>
      </c>
      <c r="G12" s="26">
        <f>IF(E12="","",INDEX(VALORIZACIÓN!$N$4:$N$103,MATCH(ROWS($E$5:E12),VALORIZACIÓN!$S$4:$S$103,0)))</f>
        <v>740</v>
      </c>
      <c r="H12" s="40">
        <f>IF(E12="","",INDEX(VALORIZACIÓN!$J$4:$J$103,MATCH(ROWS($E$5:E12),VALORIZACIÓN!$S$4:$S$103,0)))</f>
        <v>0.15000000000000002</v>
      </c>
      <c r="I12" s="26">
        <f>IF(E12="","",INDEX(VALORIZACIÓN!$O$4:$O$103,MATCH(ROWS($E$5:E12),VALORIZACIÓN!$S$4:$S$103,0)))</f>
        <v>2220.0000000000005</v>
      </c>
      <c r="J12" s="26">
        <f>IF(E12="","",INDEX(VALORIZACIÓN!$P$4:$P$103,MATCH(ROWS($E$5:E12),VALORIZACIÓN!$S$4:$S$103,0)))</f>
        <v>12580</v>
      </c>
      <c r="K12" s="21">
        <f>VALORIZACIÓN!P11</f>
        <v>12580</v>
      </c>
    </row>
    <row r="13" spans="1:11" x14ac:dyDescent="0.25">
      <c r="A13" s="3" t="s">
        <v>160</v>
      </c>
      <c r="B13" s="23">
        <f>IFERROR(B6/B9,0)</f>
        <v>0.26634215219976221</v>
      </c>
      <c r="E13" s="26" t="str">
        <f>IFERROR(INDEX(VALORIZACIÓN!$B$4:$B$103,MATCH(ROWS($E$5:E13),VALORIZACIÓN!$S$4:$S$103,0)),"")</f>
        <v>VID-01</v>
      </c>
      <c r="F13" s="27" t="str">
        <f>IFERROR(INDEX(VALORIZACIÓN!$C$4:$C$103,MATCH(ROWS($E$5:E13),VALORIZACIÓN!$S$4:$S$103,0)),"")</f>
        <v>Mamparas y vidrio</v>
      </c>
      <c r="G13" s="26">
        <f>IF(E13="","",INDEX(VALORIZACIÓN!$N$4:$N$103,MATCH(ROWS($E$5:E13),VALORIZACIÓN!$S$4:$S$103,0)))</f>
        <v>4095</v>
      </c>
      <c r="H13" s="40">
        <f>IF(E13="","",INDEX(VALORIZACIÓN!$J$4:$J$103,MATCH(ROWS($E$5:E13),VALORIZACIÓN!$S$4:$S$103,0)))</f>
        <v>0.25</v>
      </c>
      <c r="I13" s="26">
        <f>IF(E13="","",INDEX(VALORIZACIÓN!$O$4:$O$103,MATCH(ROWS($E$5:E13),VALORIZACIÓN!$S$4:$S$103,0)))</f>
        <v>4095</v>
      </c>
      <c r="J13" s="26">
        <f>IF(E13="","",INDEX(VALORIZACIÓN!$P$4:$P$103,MATCH(ROWS($E$5:E13),VALORIZACIÓN!$S$4:$S$103,0)))</f>
        <v>12285</v>
      </c>
      <c r="K13" s="21">
        <f>VALORIZACIÓN!P12</f>
        <v>12285</v>
      </c>
    </row>
    <row r="14" spans="1:11" x14ac:dyDescent="0.25">
      <c r="E14" s="26" t="str">
        <f>IFERROR(INDEX(VALORIZACIÓN!$B$4:$B$103,MATCH(ROWS($E$5:E14),VALORIZACIÓN!$S$4:$S$103,0)),"")</f>
        <v>FIN-01</v>
      </c>
      <c r="F14" s="27" t="str">
        <f>IFERROR(INDEX(VALORIZACIÓN!$C$4:$C$103,MATCH(ROWS($E$5:E14),VALORIZACIÓN!$S$4:$S$103,0)),"")</f>
        <v>Limpieza y cierre</v>
      </c>
      <c r="G14" s="26">
        <f>IF(E14="","",INDEX(VALORIZACIÓN!$N$4:$N$103,MATCH(ROWS($E$5:E14),VALORIZACIÓN!$S$4:$S$103,0)))</f>
        <v>1120</v>
      </c>
      <c r="H14" s="40">
        <f>IF(E14="","",INDEX(VALORIZACIÓN!$J$4:$J$103,MATCH(ROWS($E$5:E14),VALORIZACIÓN!$S$4:$S$103,0)))</f>
        <v>0.4</v>
      </c>
      <c r="I14" s="26">
        <f>IF(E14="","",INDEX(VALORIZACIÓN!$O$4:$O$103,MATCH(ROWS($E$5:E14),VALORIZACIÓN!$S$4:$S$103,0)))</f>
        <v>1120</v>
      </c>
      <c r="J14" s="26">
        <f>IF(E14="","",INDEX(VALORIZACIÓN!$P$4:$P$103,MATCH(ROWS($E$5:E14),VALORIZACIÓN!$S$4:$S$103,0)))</f>
        <v>1680</v>
      </c>
      <c r="K14" s="21">
        <f>VALORIZACIÓN!P13</f>
        <v>1680</v>
      </c>
    </row>
    <row r="16" spans="1:11" x14ac:dyDescent="0.25">
      <c r="A16" s="34" t="s">
        <v>161</v>
      </c>
      <c r="B16" s="35"/>
      <c r="C16" s="36"/>
      <c r="E16" s="34" t="s">
        <v>162</v>
      </c>
      <c r="F16" s="35"/>
      <c r="G16" s="36"/>
      <c r="H16" s="39"/>
    </row>
    <row r="17" spans="1:6" x14ac:dyDescent="0.25">
      <c r="A17" s="5" t="s">
        <v>163</v>
      </c>
      <c r="B17" s="21">
        <f>B4</f>
        <v>132500</v>
      </c>
      <c r="E17" s="5" t="s">
        <v>164</v>
      </c>
      <c r="F17" s="22">
        <f>B13</f>
        <v>0.26634215219976221</v>
      </c>
    </row>
    <row r="18" spans="1:6" x14ac:dyDescent="0.25">
      <c r="A18" s="5" t="s">
        <v>165</v>
      </c>
      <c r="B18" s="21">
        <f>B7</f>
        <v>3200</v>
      </c>
      <c r="E18" s="5" t="s">
        <v>166</v>
      </c>
      <c r="F18" s="22">
        <f>1-F17</f>
        <v>0.73365784780023779</v>
      </c>
    </row>
    <row r="19" spans="1:6" x14ac:dyDescent="0.25">
      <c r="A19" s="5" t="s">
        <v>167</v>
      </c>
      <c r="B19" s="21">
        <f>B8</f>
        <v>1140</v>
      </c>
    </row>
  </sheetData>
  <mergeCells count="4">
    <mergeCell ref="A16:C16"/>
    <mergeCell ref="E3:K3"/>
    <mergeCell ref="A3:D3"/>
    <mergeCell ref="E16:G1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5"/>
  <sheetViews>
    <sheetView showGridLines="0" tabSelected="1" topLeftCell="A3" zoomScale="70" zoomScaleNormal="70" workbookViewId="0">
      <selection activeCell="L16" sqref="L16"/>
    </sheetView>
  </sheetViews>
  <sheetFormatPr baseColWidth="10" defaultColWidth="9.140625" defaultRowHeight="15" x14ac:dyDescent="0.25"/>
  <cols>
    <col min="1" max="1" width="22" customWidth="1"/>
    <col min="2" max="2" width="28.85546875" bestFit="1" customWidth="1"/>
    <col min="4" max="5" width="14" customWidth="1"/>
    <col min="6" max="6" width="16" customWidth="1"/>
    <col min="7" max="7" width="28" customWidth="1"/>
    <col min="8" max="9" width="14" customWidth="1"/>
    <col min="10" max="10" width="18" customWidth="1"/>
    <col min="11" max="11" width="25.7109375" bestFit="1" customWidth="1"/>
    <col min="12" max="12" width="18" customWidth="1"/>
    <col min="13" max="13" width="24" customWidth="1"/>
    <col min="14" max="14" width="1.140625" style="38" customWidth="1"/>
  </cols>
  <sheetData>
    <row r="1" spans="1:11" ht="21" x14ac:dyDescent="0.35">
      <c r="A1" s="24" t="s">
        <v>168</v>
      </c>
    </row>
    <row r="3" spans="1:11" x14ac:dyDescent="0.25">
      <c r="A3" s="3" t="s">
        <v>31</v>
      </c>
      <c r="B3" s="28" t="str">
        <f>'DATOS GENERALES'!B3</f>
        <v>Cliente ejemplo SAC</v>
      </c>
      <c r="D3" s="31" t="s">
        <v>163</v>
      </c>
      <c r="E3" s="32"/>
      <c r="F3" s="31" t="s">
        <v>169</v>
      </c>
      <c r="G3" s="32"/>
      <c r="H3" s="31" t="s">
        <v>155</v>
      </c>
      <c r="I3" s="32"/>
      <c r="J3" s="13" t="s">
        <v>177</v>
      </c>
      <c r="K3" t="s">
        <v>178</v>
      </c>
    </row>
    <row r="4" spans="1:11" ht="15.75" x14ac:dyDescent="0.25">
      <c r="A4" s="3" t="s">
        <v>42</v>
      </c>
      <c r="B4" s="28" t="str">
        <f>'DATOS GENERALES'!B4</f>
        <v>Remodelación Oficinas Piso 3</v>
      </c>
      <c r="D4" s="33">
        <f>RESUMEN!B4</f>
        <v>132500</v>
      </c>
      <c r="E4" s="32"/>
      <c r="F4" s="33">
        <f>RESUMEN!B5</f>
        <v>23530</v>
      </c>
      <c r="G4" s="32"/>
      <c r="H4" s="33">
        <f>RESUMEN!B6</f>
        <v>35839</v>
      </c>
      <c r="I4" s="32"/>
    </row>
    <row r="5" spans="1:11" x14ac:dyDescent="0.25">
      <c r="A5" s="3" t="s">
        <v>44</v>
      </c>
      <c r="B5" s="28" t="str">
        <f>'DATOS GENERALES'!B5</f>
        <v>VAL-001</v>
      </c>
      <c r="J5" s="13" t="s">
        <v>179</v>
      </c>
      <c r="K5" t="s">
        <v>178</v>
      </c>
    </row>
    <row r="6" spans="1:11" x14ac:dyDescent="0.25">
      <c r="A6" s="3" t="s">
        <v>137</v>
      </c>
      <c r="B6" s="28">
        <f>'DATOS GENERALES'!B12</f>
        <v>1</v>
      </c>
      <c r="D6" s="31" t="s">
        <v>170</v>
      </c>
      <c r="E6" s="32"/>
      <c r="F6" s="31" t="s">
        <v>118</v>
      </c>
      <c r="G6" s="32"/>
      <c r="H6" s="31" t="s">
        <v>144</v>
      </c>
      <c r="I6" s="32"/>
    </row>
    <row r="7" spans="1:11" ht="15.75" x14ac:dyDescent="0.25">
      <c r="A7" s="3" t="s">
        <v>138</v>
      </c>
      <c r="B7" s="28" t="str">
        <f>'DATOS GENERALES'!B13</f>
        <v>Mes 1</v>
      </c>
      <c r="D7" s="33">
        <f>RESUMEN!B7-RESUMEN!B8</f>
        <v>2060</v>
      </c>
      <c r="E7" s="32"/>
      <c r="F7" s="33">
        <f>RESUMEN!B12</f>
        <v>98721</v>
      </c>
      <c r="G7" s="32"/>
      <c r="H7" s="33">
        <f>RESUMEN!B11</f>
        <v>12309</v>
      </c>
      <c r="I7" s="32"/>
      <c r="J7" s="13" t="s">
        <v>180</v>
      </c>
      <c r="K7" t="s">
        <v>178</v>
      </c>
    </row>
    <row r="8" spans="1:11" x14ac:dyDescent="0.25">
      <c r="A8" s="3" t="s">
        <v>58</v>
      </c>
      <c r="B8" s="28" t="str">
        <f>'DATOS GENERALES'!B14</f>
        <v>2026-03-16</v>
      </c>
    </row>
    <row r="9" spans="1:11" x14ac:dyDescent="0.25">
      <c r="A9" s="3" t="s">
        <v>119</v>
      </c>
      <c r="B9" s="28" t="str">
        <f>'DATOS GENERALES'!B18</f>
        <v>Borrador</v>
      </c>
    </row>
    <row r="11" spans="1:11" x14ac:dyDescent="0.25">
      <c r="A11" s="34" t="s">
        <v>171</v>
      </c>
      <c r="B11" s="35"/>
      <c r="C11" s="35"/>
      <c r="D11" s="36"/>
      <c r="F11" s="34" t="s">
        <v>172</v>
      </c>
      <c r="G11" s="35"/>
      <c r="H11" s="35"/>
      <c r="I11" s="35"/>
      <c r="J11" s="35"/>
      <c r="K11" s="36"/>
    </row>
    <row r="12" spans="1:11" ht="30" x14ac:dyDescent="0.25">
      <c r="A12" s="5" t="s">
        <v>53</v>
      </c>
      <c r="B12" s="21">
        <f>RESUMEN!B4</f>
        <v>132500</v>
      </c>
      <c r="F12" s="9" t="s">
        <v>44</v>
      </c>
      <c r="G12" s="9" t="s">
        <v>21</v>
      </c>
      <c r="H12" s="9" t="s">
        <v>53</v>
      </c>
      <c r="I12" s="9" t="s">
        <v>173</v>
      </c>
      <c r="J12" s="9" t="s">
        <v>169</v>
      </c>
      <c r="K12" s="9" t="s">
        <v>153</v>
      </c>
    </row>
    <row r="13" spans="1:11" x14ac:dyDescent="0.25">
      <c r="A13" s="5" t="s">
        <v>165</v>
      </c>
      <c r="B13" s="21">
        <f>RESUMEN!B7</f>
        <v>3200</v>
      </c>
      <c r="F13" s="5" t="str">
        <f>RESUMEN!E5</f>
        <v>ARQ-01</v>
      </c>
      <c r="G13" s="5" t="str">
        <f>RESUMEN!F5</f>
        <v>Demoliciones menores</v>
      </c>
      <c r="H13" s="29">
        <f>RESUMEN!G5</f>
        <v>450</v>
      </c>
      <c r="I13" s="41">
        <f>RESUMEN!H5</f>
        <v>0.35</v>
      </c>
      <c r="J13" s="21">
        <f>RESUMEN!J5</f>
        <v>1950</v>
      </c>
      <c r="K13" s="21">
        <f>RESUMEN!K5</f>
        <v>1950</v>
      </c>
    </row>
    <row r="14" spans="1:11" x14ac:dyDescent="0.25">
      <c r="A14" s="5" t="s">
        <v>167</v>
      </c>
      <c r="B14" s="21">
        <f>RESUMEN!B8</f>
        <v>1140</v>
      </c>
      <c r="F14" s="5" t="str">
        <f>RESUMEN!E6</f>
        <v>ARQ-02</v>
      </c>
      <c r="G14" s="5" t="str">
        <f>RESUMEN!F6</f>
        <v>Tabiquería drywall</v>
      </c>
      <c r="H14" s="29">
        <f>RESUMEN!G6</f>
        <v>3420</v>
      </c>
      <c r="I14" s="41">
        <f>RESUMEN!H6</f>
        <v>0.30000000000000004</v>
      </c>
      <c r="J14" s="21">
        <f>RESUMEN!J6</f>
        <v>11970</v>
      </c>
      <c r="K14" s="21">
        <f>RESUMEN!K6</f>
        <v>11970</v>
      </c>
    </row>
    <row r="15" spans="1:11" x14ac:dyDescent="0.25">
      <c r="A15" s="5" t="s">
        <v>158</v>
      </c>
      <c r="B15" s="21">
        <f>RESUMEN!B9</f>
        <v>134560</v>
      </c>
      <c r="F15" s="5" t="str">
        <f>RESUMEN!E7</f>
        <v>ARQ-03</v>
      </c>
      <c r="G15" s="5" t="str">
        <f>RESUMEN!F7</f>
        <v>Cielorraso</v>
      </c>
      <c r="H15" s="29">
        <f>RESUMEN!G7</f>
        <v>1116</v>
      </c>
      <c r="I15" s="41">
        <f>RESUMEN!H7</f>
        <v>0.1</v>
      </c>
      <c r="J15" s="21">
        <f>RESUMEN!J7</f>
        <v>10044</v>
      </c>
      <c r="K15" s="21">
        <f>RESUMEN!K7</f>
        <v>10044</v>
      </c>
    </row>
    <row r="16" spans="1:11" x14ac:dyDescent="0.25">
      <c r="A16" s="5" t="s">
        <v>154</v>
      </c>
      <c r="B16" s="21">
        <f>RESUMEN!B5</f>
        <v>23530</v>
      </c>
      <c r="F16" s="5" t="str">
        <f>RESUMEN!E8</f>
        <v>ARQ-04</v>
      </c>
      <c r="G16" s="5" t="str">
        <f>RESUMEN!F8</f>
        <v>Piso porcelanato</v>
      </c>
      <c r="H16" s="29">
        <f>RESUMEN!G8</f>
        <v>3894</v>
      </c>
      <c r="I16" s="41">
        <f>RESUMEN!H8</f>
        <v>0.3</v>
      </c>
      <c r="J16" s="21">
        <f>RESUMEN!J8</f>
        <v>18172</v>
      </c>
      <c r="K16" s="21">
        <f>RESUMEN!K8</f>
        <v>18172</v>
      </c>
    </row>
    <row r="17" spans="1:13" x14ac:dyDescent="0.25">
      <c r="A17" s="5" t="s">
        <v>155</v>
      </c>
      <c r="B17" s="21">
        <f>RESUMEN!B6</f>
        <v>35839</v>
      </c>
      <c r="F17" s="5" t="str">
        <f>RESUMEN!E9</f>
        <v>ARQ-05</v>
      </c>
      <c r="G17" s="5" t="str">
        <f>RESUMEN!F9</f>
        <v>Pintura general</v>
      </c>
      <c r="H17" s="29">
        <f>RESUMEN!G9</f>
        <v>4080</v>
      </c>
      <c r="I17" s="41">
        <f>RESUMEN!H9</f>
        <v>0.3</v>
      </c>
      <c r="J17" s="21">
        <f>RESUMEN!J9</f>
        <v>9520</v>
      </c>
      <c r="K17" s="21">
        <f>RESUMEN!K9</f>
        <v>9520</v>
      </c>
    </row>
    <row r="18" spans="1:13" x14ac:dyDescent="0.25">
      <c r="A18" s="5" t="s">
        <v>159</v>
      </c>
      <c r="B18" s="21">
        <f>RESUMEN!B10</f>
        <v>23530</v>
      </c>
      <c r="F18" s="5" t="str">
        <f>RESUMEN!E10</f>
        <v>ELE-01</v>
      </c>
      <c r="G18" s="5" t="str">
        <f>RESUMEN!F10</f>
        <v>Red eléctrica</v>
      </c>
      <c r="H18" s="29">
        <f>RESUMEN!G10</f>
        <v>2775</v>
      </c>
      <c r="I18" s="41">
        <f>RESUMEN!H10</f>
        <v>0.4</v>
      </c>
      <c r="J18" s="21">
        <f>RESUMEN!J10</f>
        <v>11100</v>
      </c>
      <c r="K18" s="21">
        <f>RESUMEN!K10</f>
        <v>11100</v>
      </c>
    </row>
    <row r="19" spans="1:13" x14ac:dyDescent="0.25">
      <c r="A19" s="5" t="s">
        <v>144</v>
      </c>
      <c r="B19" s="21">
        <f>RESUMEN!B11</f>
        <v>12309</v>
      </c>
      <c r="F19" s="5" t="str">
        <f>RESUMEN!E11</f>
        <v>SAN-01</v>
      </c>
      <c r="G19" s="5" t="str">
        <f>RESUMEN!F11</f>
        <v>Adecuación sanitaria</v>
      </c>
      <c r="H19" s="29">
        <f>RESUMEN!G11</f>
        <v>1840</v>
      </c>
      <c r="I19" s="41">
        <f>RESUMEN!H11</f>
        <v>0.2</v>
      </c>
      <c r="J19" s="21">
        <f>RESUMEN!J11</f>
        <v>7360</v>
      </c>
      <c r="K19" s="21">
        <f>RESUMEN!K11</f>
        <v>7360</v>
      </c>
    </row>
    <row r="20" spans="1:13" x14ac:dyDescent="0.25">
      <c r="A20" s="5" t="s">
        <v>118</v>
      </c>
      <c r="B20" s="21">
        <f>RESUMEN!B12</f>
        <v>98721</v>
      </c>
      <c r="F20" s="5" t="str">
        <f>RESUMEN!E12</f>
        <v>MOB-01</v>
      </c>
      <c r="G20" s="5" t="str">
        <f>RESUMEN!F12</f>
        <v>Carpintería fija</v>
      </c>
      <c r="H20" s="29">
        <f>RESUMEN!G12</f>
        <v>740</v>
      </c>
      <c r="I20" s="41">
        <f>RESUMEN!H12</f>
        <v>0.15000000000000002</v>
      </c>
      <c r="J20" s="21">
        <f>RESUMEN!J12</f>
        <v>12580</v>
      </c>
      <c r="K20" s="21">
        <f>RESUMEN!K12</f>
        <v>12580</v>
      </c>
    </row>
    <row r="21" spans="1:13" x14ac:dyDescent="0.25">
      <c r="A21" s="5" t="s">
        <v>174</v>
      </c>
      <c r="B21" s="22">
        <f>RESUMEN!B13</f>
        <v>0.26634215219976221</v>
      </c>
      <c r="F21" s="5" t="str">
        <f>RESUMEN!E13</f>
        <v>VID-01</v>
      </c>
      <c r="G21" s="5" t="str">
        <f>RESUMEN!F13</f>
        <v>Mamparas y vidrio</v>
      </c>
      <c r="H21" s="29">
        <f>RESUMEN!G13</f>
        <v>4095</v>
      </c>
      <c r="I21" s="41">
        <f>RESUMEN!H13</f>
        <v>0.25</v>
      </c>
      <c r="J21" s="21">
        <f>RESUMEN!J13</f>
        <v>12285</v>
      </c>
      <c r="K21" s="21">
        <f>RESUMEN!K13</f>
        <v>12285</v>
      </c>
      <c r="M21" s="30"/>
    </row>
    <row r="22" spans="1:13" x14ac:dyDescent="0.25">
      <c r="F22" s="5" t="str">
        <f>RESUMEN!E14</f>
        <v>FIN-01</v>
      </c>
      <c r="G22" s="5" t="str">
        <f>RESUMEN!F14</f>
        <v>Limpieza y cierre</v>
      </c>
      <c r="H22" s="29">
        <f>RESUMEN!G14</f>
        <v>1120</v>
      </c>
      <c r="I22" s="41">
        <f>RESUMEN!H14</f>
        <v>0.4</v>
      </c>
      <c r="J22" s="21">
        <f>RESUMEN!J14</f>
        <v>1680</v>
      </c>
      <c r="K22" s="21">
        <f>RESUMEN!K14</f>
        <v>1680</v>
      </c>
    </row>
    <row r="23" spans="1:13" x14ac:dyDescent="0.25">
      <c r="A23" s="34" t="s">
        <v>175</v>
      </c>
      <c r="B23" s="35"/>
      <c r="C23" s="35"/>
      <c r="D23" s="36"/>
    </row>
    <row r="24" spans="1:13" x14ac:dyDescent="0.25">
      <c r="A24" s="5" t="s">
        <v>176</v>
      </c>
      <c r="B24" s="22">
        <f>RESUMEN!B13</f>
        <v>0.26634215219976221</v>
      </c>
    </row>
    <row r="25" spans="1:13" x14ac:dyDescent="0.25">
      <c r="A25" s="5" t="s">
        <v>166</v>
      </c>
      <c r="B25" s="22">
        <f>1-B24</f>
        <v>0.73365784780023779</v>
      </c>
    </row>
  </sheetData>
  <mergeCells count="15">
    <mergeCell ref="F3:G3"/>
    <mergeCell ref="F4:G4"/>
    <mergeCell ref="A23:D23"/>
    <mergeCell ref="F11:K11"/>
    <mergeCell ref="D6:E6"/>
    <mergeCell ref="D7:E7"/>
    <mergeCell ref="H6:I6"/>
    <mergeCell ref="H7:I7"/>
    <mergeCell ref="F6:G6"/>
    <mergeCell ref="D4:E4"/>
    <mergeCell ref="H4:I4"/>
    <mergeCell ref="A11:D11"/>
    <mergeCell ref="D3:E3"/>
    <mergeCell ref="F7:G7"/>
    <mergeCell ref="H3:I3"/>
  </mergeCell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7</vt:i4>
      </vt:variant>
    </vt:vector>
  </HeadingPairs>
  <TitlesOfParts>
    <vt:vector size="15" baseType="lpstr">
      <vt:lpstr>LISTAS + README</vt:lpstr>
      <vt:lpstr>DATOS GENERALES</vt:lpstr>
      <vt:lpstr>PRESUPUESTO BASE</vt:lpstr>
      <vt:lpstr>VALORIZACIÓN</vt:lpstr>
      <vt:lpstr>ADICIONALES</vt:lpstr>
      <vt:lpstr>CONTROL DE PAGOS</vt:lpstr>
      <vt:lpstr>RESUMEN</vt:lpstr>
      <vt:lpstr>PRESENTACIÓN</vt:lpstr>
      <vt:lpstr>lstEstadosAdic</vt:lpstr>
      <vt:lpstr>lstEstadosVal</vt:lpstr>
      <vt:lpstr>lstMonedas</vt:lpstr>
      <vt:lpstr>lstPeriodicidad</vt:lpstr>
      <vt:lpstr>lstResponsables</vt:lpstr>
      <vt:lpstr>lstTiposItem</vt:lpstr>
      <vt:lpstr>lstUnidades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matteo Uccelli meneses</cp:lastModifiedBy>
  <dcterms:created xsi:type="dcterms:W3CDTF">2026-03-16T16:42:27Z</dcterms:created>
  <dcterms:modified xsi:type="dcterms:W3CDTF">2026-03-16T22:39:16Z</dcterms:modified>
</cp:coreProperties>
</file>